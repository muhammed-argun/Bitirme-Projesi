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uhammed Özel\Bitirme Projesi\"/>
    </mc:Choice>
  </mc:AlternateContent>
  <xr:revisionPtr revIDLastSave="0" documentId="13_ncr:1_{78FC6E6E-7AE5-49E6-8DE5-F03C59D704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4" i="1" l="1"/>
  <c r="J144" i="1"/>
  <c r="I144" i="1"/>
  <c r="H144" i="1"/>
  <c r="G144" i="1"/>
  <c r="F144" i="1"/>
  <c r="E144" i="1"/>
  <c r="D144" i="1"/>
  <c r="C144" i="1"/>
  <c r="B144" i="1"/>
  <c r="J143" i="1"/>
  <c r="I143" i="1"/>
  <c r="H143" i="1"/>
  <c r="G143" i="1"/>
  <c r="F143" i="1"/>
  <c r="E143" i="1"/>
  <c r="D143" i="1"/>
  <c r="C143" i="1"/>
  <c r="B143" i="1"/>
  <c r="K133" i="1"/>
  <c r="J133" i="1"/>
  <c r="I133" i="1"/>
  <c r="H133" i="1"/>
  <c r="G133" i="1"/>
  <c r="F133" i="1"/>
  <c r="E133" i="1"/>
  <c r="D133" i="1"/>
  <c r="C133" i="1"/>
  <c r="B133" i="1"/>
  <c r="J132" i="1"/>
  <c r="I132" i="1"/>
  <c r="H132" i="1"/>
  <c r="G132" i="1"/>
  <c r="F132" i="1"/>
  <c r="E132" i="1"/>
  <c r="D132" i="1"/>
  <c r="C132" i="1"/>
  <c r="B132" i="1"/>
  <c r="J122" i="1"/>
  <c r="I122" i="1"/>
  <c r="H122" i="1"/>
  <c r="G122" i="1"/>
  <c r="F122" i="1"/>
  <c r="E122" i="1"/>
  <c r="D122" i="1"/>
  <c r="C122" i="1"/>
  <c r="B122" i="1"/>
  <c r="K122" i="1"/>
  <c r="J121" i="1"/>
  <c r="I121" i="1"/>
  <c r="H121" i="1"/>
  <c r="G121" i="1"/>
  <c r="F121" i="1"/>
  <c r="E121" i="1"/>
  <c r="D121" i="1"/>
  <c r="C121" i="1"/>
  <c r="B121" i="1"/>
  <c r="K78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D11" i="1"/>
  <c r="D22" i="1"/>
  <c r="J11" i="1"/>
  <c r="I11" i="1"/>
  <c r="H11" i="1"/>
  <c r="G11" i="1"/>
  <c r="F11" i="1"/>
  <c r="E11" i="1"/>
  <c r="C11" i="1"/>
  <c r="B11" i="1"/>
  <c r="J55" i="1"/>
  <c r="I55" i="1"/>
  <c r="H55" i="1"/>
  <c r="G55" i="1"/>
  <c r="F55" i="1"/>
  <c r="E55" i="1"/>
  <c r="D55" i="1"/>
  <c r="C55" i="1"/>
  <c r="B55" i="1"/>
  <c r="K56" i="1"/>
  <c r="J56" i="1"/>
  <c r="I56" i="1"/>
  <c r="H56" i="1"/>
  <c r="G56" i="1"/>
  <c r="F56" i="1"/>
  <c r="E56" i="1"/>
  <c r="D56" i="1"/>
  <c r="C56" i="1"/>
  <c r="B56" i="1"/>
  <c r="K111" i="1"/>
  <c r="J110" i="1"/>
  <c r="I110" i="1"/>
  <c r="H110" i="1"/>
  <c r="G110" i="1"/>
  <c r="F110" i="1"/>
  <c r="E110" i="1"/>
  <c r="D110" i="1"/>
  <c r="C110" i="1"/>
  <c r="B110" i="1"/>
  <c r="J111" i="1"/>
  <c r="I111" i="1"/>
  <c r="H111" i="1"/>
  <c r="G111" i="1"/>
  <c r="F111" i="1"/>
  <c r="E111" i="1"/>
  <c r="D111" i="1"/>
  <c r="C111" i="1"/>
  <c r="B111" i="1"/>
  <c r="K100" i="1"/>
  <c r="K89" i="1"/>
  <c r="J99" i="1"/>
  <c r="I99" i="1"/>
  <c r="H99" i="1"/>
  <c r="G99" i="1"/>
  <c r="F99" i="1"/>
  <c r="E99" i="1"/>
  <c r="D99" i="1"/>
  <c r="C99" i="1"/>
  <c r="B99" i="1"/>
  <c r="J100" i="1"/>
  <c r="I100" i="1"/>
  <c r="H100" i="1"/>
  <c r="G100" i="1"/>
  <c r="F100" i="1"/>
  <c r="E100" i="1"/>
  <c r="D100" i="1"/>
  <c r="C100" i="1"/>
  <c r="B100" i="1"/>
  <c r="K67" i="1"/>
  <c r="K45" i="1"/>
  <c r="K34" i="1"/>
  <c r="K23" i="1"/>
  <c r="C22" i="1"/>
  <c r="J22" i="1"/>
  <c r="I22" i="1"/>
  <c r="H22" i="1"/>
  <c r="G22" i="1"/>
  <c r="F22" i="1"/>
  <c r="E22" i="1"/>
  <c r="B22" i="1"/>
  <c r="J89" i="1"/>
  <c r="I89" i="1"/>
  <c r="H89" i="1"/>
  <c r="G89" i="1"/>
  <c r="F89" i="1"/>
  <c r="E89" i="1"/>
  <c r="D89" i="1"/>
  <c r="C89" i="1"/>
  <c r="B89" i="1"/>
  <c r="J67" i="1"/>
  <c r="I67" i="1"/>
  <c r="H67" i="1"/>
  <c r="G67" i="1"/>
  <c r="F67" i="1"/>
  <c r="E67" i="1"/>
  <c r="D67" i="1"/>
  <c r="C67" i="1"/>
  <c r="B67" i="1"/>
  <c r="B66" i="1"/>
  <c r="J45" i="1"/>
  <c r="I45" i="1"/>
  <c r="H45" i="1"/>
  <c r="G45" i="1"/>
  <c r="F45" i="1"/>
  <c r="E45" i="1"/>
  <c r="D45" i="1"/>
  <c r="C45" i="1"/>
  <c r="B45" i="1"/>
  <c r="J34" i="1"/>
  <c r="I34" i="1"/>
  <c r="H34" i="1"/>
  <c r="G34" i="1"/>
  <c r="F34" i="1"/>
  <c r="E34" i="1"/>
  <c r="D34" i="1"/>
  <c r="C34" i="1"/>
  <c r="B34" i="1"/>
  <c r="B23" i="1"/>
  <c r="J23" i="1"/>
  <c r="I23" i="1"/>
  <c r="H23" i="1"/>
  <c r="G23" i="1"/>
  <c r="F23" i="1"/>
  <c r="E23" i="1"/>
  <c r="D23" i="1"/>
  <c r="C23" i="1"/>
  <c r="B33" i="1"/>
  <c r="J88" i="1"/>
  <c r="I88" i="1"/>
  <c r="H88" i="1"/>
  <c r="G88" i="1"/>
  <c r="F88" i="1"/>
  <c r="E88" i="1"/>
  <c r="D88" i="1"/>
  <c r="C88" i="1"/>
  <c r="B88" i="1"/>
  <c r="J66" i="1"/>
  <c r="I66" i="1"/>
  <c r="H66" i="1"/>
  <c r="G66" i="1"/>
  <c r="F66" i="1"/>
  <c r="E66" i="1"/>
  <c r="D66" i="1"/>
  <c r="C66" i="1"/>
  <c r="J44" i="1"/>
  <c r="I44" i="1"/>
  <c r="H44" i="1"/>
  <c r="G44" i="1"/>
  <c r="F44" i="1"/>
  <c r="E44" i="1"/>
  <c r="D44" i="1"/>
  <c r="C44" i="1"/>
  <c r="B44" i="1"/>
  <c r="J33" i="1"/>
  <c r="I33" i="1"/>
  <c r="H33" i="1"/>
  <c r="G33" i="1"/>
  <c r="F33" i="1"/>
  <c r="E33" i="1"/>
  <c r="D33" i="1"/>
  <c r="C33" i="1"/>
  <c r="K143" i="1" l="1"/>
  <c r="K132" i="1"/>
  <c r="K121" i="1"/>
  <c r="K77" i="1"/>
  <c r="K55" i="1"/>
  <c r="K33" i="1"/>
  <c r="K110" i="1"/>
  <c r="K99" i="1"/>
  <c r="K44" i="1"/>
  <c r="K88" i="1"/>
  <c r="K66" i="1"/>
  <c r="K22" i="1"/>
</calcChain>
</file>

<file path=xl/sharedStrings.xml><?xml version="1.0" encoding="utf-8"?>
<sst xmlns="http://schemas.openxmlformats.org/spreadsheetml/2006/main" count="162" uniqueCount="35">
  <si>
    <t>Diğer</t>
  </si>
  <si>
    <t>LGS Grubu</t>
  </si>
  <si>
    <t>Gerçek Veri
Not:</t>
  </si>
  <si>
    <t>.</t>
  </si>
  <si>
    <t>2025Haz</t>
  </si>
  <si>
    <t>2025Tem</t>
  </si>
  <si>
    <t>2025Ağus</t>
  </si>
  <si>
    <t>2025Eyl</t>
  </si>
  <si>
    <t>2025Ekm</t>
  </si>
  <si>
    <t>2025Kas</t>
  </si>
  <si>
    <t>2025Arlk</t>
  </si>
  <si>
    <t>2026Ock</t>
  </si>
  <si>
    <t>2026Şbt</t>
  </si>
  <si>
    <t>2026Mrt</t>
  </si>
  <si>
    <t>2026Nis</t>
  </si>
  <si>
    <t>2026Mys</t>
  </si>
  <si>
    <t>Lise (9-11)</t>
  </si>
  <si>
    <t>Ortaokul (5-7)</t>
  </si>
  <si>
    <t>YKS/Üniversite Hazırlık</t>
  </si>
  <si>
    <t>İlkokul (1-4)</t>
  </si>
  <si>
    <t>Sınav Hazırlık (Memurluk/Lisansüstü)</t>
  </si>
  <si>
    <t>Kod Version1</t>
  </si>
  <si>
    <t>LookBack24 Trials5 BatchSize8</t>
  </si>
  <si>
    <t>LookBack12 Trials 5 BatchSize4</t>
  </si>
  <si>
    <t>LookBack12 Trials10 BatchSize4</t>
  </si>
  <si>
    <t>Kod Version2</t>
  </si>
  <si>
    <t>LookBack12 Trials5 BatchSize4</t>
  </si>
  <si>
    <t>Kod Version3</t>
  </si>
  <si>
    <t>?</t>
  </si>
  <si>
    <t>LookBack12 Trials15 BatchSize4</t>
  </si>
  <si>
    <t>LookBack12 Trials5 BatchSize2</t>
  </si>
  <si>
    <t>Kod Version4</t>
  </si>
  <si>
    <t>LookBack12 Trials20 BatchSize4</t>
  </si>
  <si>
    <t>Kod Version5</t>
  </si>
  <si>
    <t>Kod Version6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</si>
</sst>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0" fontId="0" fillId="2" borderId="0" xfId="0" applyNumberFormat="1" applyFill="1"/>
    <xf numFmtId="10" fontId="0" fillId="0" borderId="0" xfId="0" applyNumberFormat="1"/>
    <xf numFmtId="10" fontId="0" fillId="3" borderId="0" xfId="0" applyNumberFormat="1" applyFill="1"/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3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4"/>
  <sheetViews>
    <sheetView tabSelected="1" topLeftCell="A115" zoomScaleNormal="100" workbookViewId="0">
      <selection activeCell="O133" sqref="O133"/>
    </sheetView>
  </sheetViews>
  <sheetFormatPr defaultRowHeight="15" x14ac:dyDescent="0.25"/>
  <cols>
    <col min="1" max="1" width="11.85546875" customWidth="1"/>
    <col min="2" max="2" width="10.140625" bestFit="1" customWidth="1"/>
    <col min="15" max="15" width="13.42578125" customWidth="1"/>
  </cols>
  <sheetData>
    <row r="1" spans="1:25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3" spans="1:25" x14ac:dyDescent="0.25">
      <c r="A3" t="s">
        <v>2</v>
      </c>
      <c r="B3" t="s">
        <v>3</v>
      </c>
    </row>
    <row r="4" spans="1:25" x14ac:dyDescent="0.25">
      <c r="A4" t="s">
        <v>0</v>
      </c>
      <c r="B4">
        <v>322</v>
      </c>
      <c r="C4">
        <v>884</v>
      </c>
      <c r="D4">
        <v>521</v>
      </c>
      <c r="E4">
        <v>3262</v>
      </c>
      <c r="F4">
        <v>6426</v>
      </c>
      <c r="G4">
        <v>2265</v>
      </c>
      <c r="H4">
        <v>1381</v>
      </c>
      <c r="I4">
        <v>968</v>
      </c>
      <c r="J4">
        <v>892</v>
      </c>
      <c r="K4" s="7" t="s">
        <v>28</v>
      </c>
      <c r="L4" s="7" t="s">
        <v>28</v>
      </c>
      <c r="M4" s="7" t="s">
        <v>28</v>
      </c>
      <c r="N4" s="7"/>
    </row>
    <row r="5" spans="1:25" x14ac:dyDescent="0.25">
      <c r="A5" t="s">
        <v>1</v>
      </c>
      <c r="B5">
        <v>32</v>
      </c>
      <c r="C5">
        <v>32</v>
      </c>
      <c r="D5">
        <v>41</v>
      </c>
      <c r="E5">
        <v>174</v>
      </c>
      <c r="F5">
        <v>404</v>
      </c>
      <c r="G5">
        <v>194</v>
      </c>
      <c r="H5">
        <v>294</v>
      </c>
      <c r="I5">
        <v>462</v>
      </c>
      <c r="J5">
        <v>370</v>
      </c>
      <c r="K5" s="7" t="s">
        <v>28</v>
      </c>
      <c r="L5" s="7" t="s">
        <v>28</v>
      </c>
      <c r="M5" s="7" t="s">
        <v>28</v>
      </c>
      <c r="N5" s="7"/>
    </row>
    <row r="6" spans="1:25" x14ac:dyDescent="0.25">
      <c r="A6" t="s">
        <v>16</v>
      </c>
      <c r="B6">
        <v>9</v>
      </c>
      <c r="C6">
        <v>26</v>
      </c>
      <c r="D6">
        <v>24</v>
      </c>
      <c r="E6">
        <v>220</v>
      </c>
      <c r="F6">
        <v>727</v>
      </c>
      <c r="G6">
        <v>261</v>
      </c>
      <c r="H6">
        <v>279</v>
      </c>
      <c r="I6">
        <v>59</v>
      </c>
      <c r="J6">
        <v>133</v>
      </c>
      <c r="K6" s="7" t="s">
        <v>28</v>
      </c>
      <c r="L6" s="7" t="s">
        <v>28</v>
      </c>
      <c r="M6" s="7" t="s">
        <v>28</v>
      </c>
      <c r="N6" s="7"/>
    </row>
    <row r="7" spans="1:25" x14ac:dyDescent="0.25">
      <c r="A7" t="s">
        <v>17</v>
      </c>
      <c r="B7">
        <v>515</v>
      </c>
      <c r="C7">
        <v>729</v>
      </c>
      <c r="D7">
        <v>444</v>
      </c>
      <c r="E7">
        <v>3271</v>
      </c>
      <c r="F7">
        <v>6536</v>
      </c>
      <c r="G7">
        <v>2852</v>
      </c>
      <c r="H7">
        <v>2944</v>
      </c>
      <c r="I7">
        <v>6356</v>
      </c>
      <c r="J7">
        <v>5444</v>
      </c>
      <c r="K7" s="7" t="s">
        <v>28</v>
      </c>
      <c r="L7" s="7" t="s">
        <v>28</v>
      </c>
      <c r="M7" s="7" t="s">
        <v>28</v>
      </c>
      <c r="N7" s="7"/>
    </row>
    <row r="8" spans="1:25" x14ac:dyDescent="0.25">
      <c r="A8" t="s">
        <v>20</v>
      </c>
      <c r="B8">
        <v>1</v>
      </c>
      <c r="C8">
        <v>0</v>
      </c>
      <c r="D8">
        <v>93</v>
      </c>
      <c r="E8">
        <v>231</v>
      </c>
      <c r="F8">
        <v>84</v>
      </c>
      <c r="G8">
        <v>84</v>
      </c>
      <c r="H8">
        <v>86</v>
      </c>
      <c r="I8">
        <v>153</v>
      </c>
      <c r="J8">
        <v>90</v>
      </c>
      <c r="K8" s="7" t="s">
        <v>28</v>
      </c>
      <c r="L8" s="7" t="s">
        <v>28</v>
      </c>
      <c r="M8" s="7" t="s">
        <v>28</v>
      </c>
      <c r="N8" s="7"/>
    </row>
    <row r="9" spans="1:25" x14ac:dyDescent="0.25">
      <c r="A9" t="s">
        <v>18</v>
      </c>
      <c r="B9">
        <v>97</v>
      </c>
      <c r="C9">
        <v>107</v>
      </c>
      <c r="D9">
        <v>280</v>
      </c>
      <c r="E9">
        <v>539</v>
      </c>
      <c r="F9">
        <v>316</v>
      </c>
      <c r="G9">
        <v>158</v>
      </c>
      <c r="H9">
        <v>166</v>
      </c>
      <c r="I9">
        <v>133</v>
      </c>
      <c r="J9">
        <v>132</v>
      </c>
      <c r="K9" s="7" t="s">
        <v>28</v>
      </c>
      <c r="L9" s="7" t="s">
        <v>28</v>
      </c>
      <c r="M9" s="7" t="s">
        <v>28</v>
      </c>
      <c r="N9" s="7"/>
    </row>
    <row r="10" spans="1:25" x14ac:dyDescent="0.25">
      <c r="A10" t="s">
        <v>19</v>
      </c>
      <c r="B10">
        <v>442</v>
      </c>
      <c r="C10">
        <v>701</v>
      </c>
      <c r="D10">
        <v>334</v>
      </c>
      <c r="E10">
        <v>969</v>
      </c>
      <c r="F10">
        <v>1345</v>
      </c>
      <c r="G10">
        <v>996</v>
      </c>
      <c r="H10">
        <v>1143</v>
      </c>
      <c r="I10">
        <v>1495</v>
      </c>
      <c r="J10">
        <v>726</v>
      </c>
      <c r="K10" s="7" t="s">
        <v>28</v>
      </c>
      <c r="L10" s="7" t="s">
        <v>28</v>
      </c>
      <c r="M10" s="7" t="s">
        <v>28</v>
      </c>
      <c r="N10" s="7"/>
    </row>
    <row r="11" spans="1:25" x14ac:dyDescent="0.25">
      <c r="A11" s="10"/>
      <c r="B11" s="10">
        <f>SUM(B5:B10)</f>
        <v>1096</v>
      </c>
      <c r="C11" s="10">
        <f t="shared" ref="C11:J11" si="0">SUM(C5:C10)</f>
        <v>1595</v>
      </c>
      <c r="D11" s="10">
        <f t="shared" si="0"/>
        <v>1216</v>
      </c>
      <c r="E11" s="10">
        <f t="shared" si="0"/>
        <v>5404</v>
      </c>
      <c r="F11" s="10">
        <f t="shared" si="0"/>
        <v>9412</v>
      </c>
      <c r="G11" s="10">
        <f t="shared" si="0"/>
        <v>4545</v>
      </c>
      <c r="H11" s="10">
        <f t="shared" si="0"/>
        <v>4912</v>
      </c>
      <c r="I11" s="10">
        <f t="shared" si="0"/>
        <v>8658</v>
      </c>
      <c r="J11" s="10">
        <f t="shared" si="0"/>
        <v>6895</v>
      </c>
      <c r="K11" s="10"/>
      <c r="L11" s="10"/>
      <c r="M11" s="10"/>
      <c r="Y11" s="1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t="s">
        <v>21</v>
      </c>
    </row>
    <row r="14" spans="1:25" x14ac:dyDescent="0.25">
      <c r="A14" t="s">
        <v>23</v>
      </c>
      <c r="B14" t="s">
        <v>3</v>
      </c>
    </row>
    <row r="15" spans="1:25" x14ac:dyDescent="0.25">
      <c r="A15" t="s">
        <v>0</v>
      </c>
      <c r="B15">
        <v>1337</v>
      </c>
      <c r="C15">
        <v>2110</v>
      </c>
      <c r="D15">
        <v>3241</v>
      </c>
      <c r="E15">
        <v>4748</v>
      </c>
      <c r="F15">
        <v>5510</v>
      </c>
      <c r="G15">
        <v>3761</v>
      </c>
      <c r="H15">
        <v>2599</v>
      </c>
      <c r="I15">
        <v>1753</v>
      </c>
      <c r="J15">
        <v>1279</v>
      </c>
      <c r="K15">
        <v>1131</v>
      </c>
      <c r="L15">
        <v>1234</v>
      </c>
      <c r="M15">
        <v>1650</v>
      </c>
    </row>
    <row r="16" spans="1:25" x14ac:dyDescent="0.25">
      <c r="A16" t="s">
        <v>1</v>
      </c>
      <c r="B16">
        <v>84</v>
      </c>
      <c r="C16">
        <v>129</v>
      </c>
      <c r="D16">
        <v>189</v>
      </c>
      <c r="E16">
        <v>267</v>
      </c>
      <c r="F16">
        <v>323</v>
      </c>
      <c r="G16">
        <v>331</v>
      </c>
      <c r="H16">
        <v>291</v>
      </c>
      <c r="I16">
        <v>195</v>
      </c>
      <c r="J16">
        <v>163</v>
      </c>
      <c r="K16">
        <v>147</v>
      </c>
      <c r="L16">
        <v>143</v>
      </c>
      <c r="M16">
        <v>154</v>
      </c>
    </row>
    <row r="17" spans="1:15" x14ac:dyDescent="0.25">
      <c r="A17" t="s">
        <v>16</v>
      </c>
      <c r="B17">
        <v>67</v>
      </c>
      <c r="C17">
        <v>101</v>
      </c>
      <c r="D17">
        <v>158</v>
      </c>
      <c r="E17">
        <v>240</v>
      </c>
      <c r="F17">
        <v>289</v>
      </c>
      <c r="G17">
        <v>307</v>
      </c>
      <c r="H17">
        <v>305</v>
      </c>
      <c r="I17">
        <v>153</v>
      </c>
      <c r="J17">
        <v>115</v>
      </c>
      <c r="K17">
        <v>75</v>
      </c>
      <c r="L17">
        <v>70</v>
      </c>
      <c r="M17">
        <v>87</v>
      </c>
    </row>
    <row r="18" spans="1:15" x14ac:dyDescent="0.25">
      <c r="A18" t="s">
        <v>17</v>
      </c>
      <c r="B18">
        <v>679</v>
      </c>
      <c r="C18">
        <v>1074</v>
      </c>
      <c r="D18">
        <v>1742</v>
      </c>
      <c r="E18">
        <v>2858</v>
      </c>
      <c r="F18">
        <v>4026</v>
      </c>
      <c r="G18">
        <v>2629</v>
      </c>
      <c r="H18">
        <v>1854</v>
      </c>
      <c r="I18">
        <v>1160</v>
      </c>
      <c r="J18">
        <v>778</v>
      </c>
      <c r="K18">
        <v>705</v>
      </c>
      <c r="L18">
        <v>805</v>
      </c>
      <c r="M18">
        <v>983</v>
      </c>
    </row>
    <row r="19" spans="1:15" x14ac:dyDescent="0.25">
      <c r="A19" t="s">
        <v>20</v>
      </c>
      <c r="B19">
        <v>0</v>
      </c>
      <c r="C19">
        <v>1</v>
      </c>
      <c r="D19">
        <v>1</v>
      </c>
      <c r="E19">
        <v>2</v>
      </c>
      <c r="F19">
        <v>3</v>
      </c>
      <c r="G19">
        <v>3</v>
      </c>
      <c r="H19">
        <v>2</v>
      </c>
      <c r="I19">
        <v>1</v>
      </c>
      <c r="J19">
        <v>1</v>
      </c>
      <c r="K19">
        <v>0</v>
      </c>
      <c r="L19">
        <v>0</v>
      </c>
      <c r="M19">
        <v>1</v>
      </c>
    </row>
    <row r="20" spans="1:15" x14ac:dyDescent="0.25">
      <c r="A20" t="s">
        <v>18</v>
      </c>
      <c r="B20">
        <v>108</v>
      </c>
      <c r="C20">
        <v>168</v>
      </c>
      <c r="D20">
        <v>261</v>
      </c>
      <c r="E20">
        <v>376</v>
      </c>
      <c r="F20">
        <v>405</v>
      </c>
      <c r="G20">
        <v>304</v>
      </c>
      <c r="H20">
        <v>204</v>
      </c>
      <c r="I20">
        <v>139</v>
      </c>
      <c r="J20">
        <v>107</v>
      </c>
      <c r="K20">
        <v>95</v>
      </c>
      <c r="L20">
        <v>101</v>
      </c>
      <c r="M20">
        <v>133</v>
      </c>
    </row>
    <row r="21" spans="1:15" x14ac:dyDescent="0.25">
      <c r="A21" t="s">
        <v>19</v>
      </c>
      <c r="B21">
        <v>249</v>
      </c>
      <c r="C21">
        <v>376</v>
      </c>
      <c r="D21">
        <v>549</v>
      </c>
      <c r="E21">
        <v>682</v>
      </c>
      <c r="F21">
        <v>743</v>
      </c>
      <c r="G21">
        <v>750</v>
      </c>
      <c r="H21">
        <v>733</v>
      </c>
      <c r="I21">
        <v>411</v>
      </c>
      <c r="J21">
        <v>286</v>
      </c>
      <c r="K21">
        <v>205</v>
      </c>
      <c r="L21">
        <v>207</v>
      </c>
      <c r="M21">
        <v>259</v>
      </c>
    </row>
    <row r="22" spans="1:15" x14ac:dyDescent="0.25">
      <c r="B22" s="5">
        <f>SUMPRODUCT(ABS(B5:B10-B16:B21))</f>
        <v>479</v>
      </c>
      <c r="C22" s="5">
        <f t="shared" ref="C22:J22" si="1">SUMPRODUCT(ABS(C5:C10-C16:C21))</f>
        <v>904</v>
      </c>
      <c r="D22" s="5">
        <f t="shared" si="1"/>
        <v>1906</v>
      </c>
      <c r="E22" s="5">
        <f t="shared" si="1"/>
        <v>1205</v>
      </c>
      <c r="F22" s="5">
        <f t="shared" si="1"/>
        <v>3801</v>
      </c>
      <c r="G22" s="5">
        <f t="shared" si="1"/>
        <v>879</v>
      </c>
      <c r="H22" s="5">
        <f t="shared" si="1"/>
        <v>1651</v>
      </c>
      <c r="I22" s="5">
        <f t="shared" si="1"/>
        <v>6799</v>
      </c>
      <c r="J22" s="5">
        <f t="shared" si="1"/>
        <v>5445</v>
      </c>
      <c r="K22" s="5">
        <f>SUM(B22:J22)</f>
        <v>23069</v>
      </c>
    </row>
    <row r="23" spans="1:15" x14ac:dyDescent="0.25">
      <c r="B23" s="2">
        <f>ABS(SUM(B5:B10)-SUM(B16:B21))/SUM(B5:B10)</f>
        <v>8.3029197080291967E-2</v>
      </c>
      <c r="C23" s="2">
        <f t="shared" ref="C23:J23" si="2">ABS(SUM(C5:C10)-SUM(C16:C21))/SUM(C5:C10)</f>
        <v>0.15924764890282131</v>
      </c>
      <c r="D23" s="2">
        <f t="shared" si="2"/>
        <v>1.3848684210526316</v>
      </c>
      <c r="E23" s="2">
        <f t="shared" si="2"/>
        <v>0.18116210214655812</v>
      </c>
      <c r="F23" s="2">
        <f t="shared" si="2"/>
        <v>0.38493412664683385</v>
      </c>
      <c r="G23" s="2">
        <f t="shared" si="2"/>
        <v>4.8624862486248623E-2</v>
      </c>
      <c r="H23" s="2">
        <f t="shared" si="2"/>
        <v>0.31005700325732899</v>
      </c>
      <c r="I23" s="2">
        <f t="shared" si="2"/>
        <v>0.76218526218526217</v>
      </c>
      <c r="J23" s="2">
        <f t="shared" si="2"/>
        <v>0.78970268310369829</v>
      </c>
      <c r="K23" s="4">
        <f>SUMPRODUCT(ABS(B5:J10-B16:J21))/SUM(B5:J10)</f>
        <v>0.52749639860059905</v>
      </c>
    </row>
    <row r="24" spans="1:15" x14ac:dyDescent="0.25">
      <c r="A24" t="s">
        <v>21</v>
      </c>
      <c r="O24">
        <v>0</v>
      </c>
    </row>
    <row r="25" spans="1:15" x14ac:dyDescent="0.25">
      <c r="A25" t="s">
        <v>22</v>
      </c>
      <c r="B25" t="s">
        <v>3</v>
      </c>
    </row>
    <row r="26" spans="1:15" x14ac:dyDescent="0.25">
      <c r="A26" t="s">
        <v>0</v>
      </c>
      <c r="B26">
        <v>1111</v>
      </c>
      <c r="C26">
        <v>2057</v>
      </c>
      <c r="D26">
        <v>2995</v>
      </c>
      <c r="E26">
        <v>3407</v>
      </c>
      <c r="F26">
        <v>3090</v>
      </c>
      <c r="G26">
        <v>2458</v>
      </c>
      <c r="H26">
        <v>1611</v>
      </c>
      <c r="I26">
        <v>955</v>
      </c>
      <c r="J26">
        <v>599</v>
      </c>
      <c r="K26">
        <v>521</v>
      </c>
      <c r="L26">
        <v>641</v>
      </c>
      <c r="M26">
        <v>993</v>
      </c>
    </row>
    <row r="27" spans="1:15" x14ac:dyDescent="0.25">
      <c r="A27" t="s">
        <v>1</v>
      </c>
      <c r="B27">
        <v>122</v>
      </c>
      <c r="C27">
        <v>152</v>
      </c>
      <c r="D27">
        <v>194</v>
      </c>
      <c r="E27">
        <v>229</v>
      </c>
      <c r="F27">
        <v>238</v>
      </c>
      <c r="G27">
        <v>207</v>
      </c>
      <c r="H27">
        <v>160</v>
      </c>
      <c r="I27">
        <v>126</v>
      </c>
      <c r="J27">
        <v>104</v>
      </c>
      <c r="K27">
        <v>94</v>
      </c>
      <c r="L27">
        <v>97</v>
      </c>
      <c r="M27">
        <v>115</v>
      </c>
    </row>
    <row r="28" spans="1:15" x14ac:dyDescent="0.25">
      <c r="A28" t="s">
        <v>16</v>
      </c>
      <c r="B28">
        <v>77</v>
      </c>
      <c r="C28">
        <v>108</v>
      </c>
      <c r="D28">
        <v>131</v>
      </c>
      <c r="E28">
        <v>142</v>
      </c>
      <c r="F28">
        <v>144</v>
      </c>
      <c r="G28">
        <v>118</v>
      </c>
      <c r="H28">
        <v>93</v>
      </c>
      <c r="I28">
        <v>68</v>
      </c>
      <c r="J28">
        <v>54</v>
      </c>
      <c r="K28">
        <v>48</v>
      </c>
      <c r="L28">
        <v>52</v>
      </c>
      <c r="M28">
        <v>59</v>
      </c>
    </row>
    <row r="29" spans="1:15" x14ac:dyDescent="0.25">
      <c r="A29" t="s">
        <v>17</v>
      </c>
      <c r="B29">
        <v>533</v>
      </c>
      <c r="C29">
        <v>1104</v>
      </c>
      <c r="D29">
        <v>1995</v>
      </c>
      <c r="E29">
        <v>2661</v>
      </c>
      <c r="F29">
        <v>2760</v>
      </c>
      <c r="G29">
        <v>2297</v>
      </c>
      <c r="H29">
        <v>1683</v>
      </c>
      <c r="I29">
        <v>1078</v>
      </c>
      <c r="J29">
        <v>682</v>
      </c>
      <c r="K29">
        <v>566</v>
      </c>
      <c r="L29">
        <v>672</v>
      </c>
      <c r="M29">
        <v>831</v>
      </c>
    </row>
    <row r="30" spans="1:15" x14ac:dyDescent="0.25">
      <c r="A30" t="s">
        <v>20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5" x14ac:dyDescent="0.25">
      <c r="A31" t="s">
        <v>18</v>
      </c>
      <c r="B31">
        <v>247</v>
      </c>
      <c r="C31">
        <v>369</v>
      </c>
      <c r="D31">
        <v>422</v>
      </c>
      <c r="E31">
        <v>386</v>
      </c>
      <c r="F31">
        <v>302</v>
      </c>
      <c r="G31">
        <v>197</v>
      </c>
      <c r="H31">
        <v>120</v>
      </c>
      <c r="I31">
        <v>80</v>
      </c>
      <c r="J31">
        <v>78</v>
      </c>
      <c r="K31">
        <v>98</v>
      </c>
      <c r="L31">
        <v>118</v>
      </c>
      <c r="M31">
        <v>168</v>
      </c>
    </row>
    <row r="32" spans="1:15" x14ac:dyDescent="0.25">
      <c r="A32" t="s">
        <v>19</v>
      </c>
      <c r="B32">
        <v>161</v>
      </c>
      <c r="C32">
        <v>217</v>
      </c>
      <c r="D32">
        <v>275</v>
      </c>
      <c r="E32">
        <v>335</v>
      </c>
      <c r="F32">
        <v>365</v>
      </c>
      <c r="G32">
        <v>344</v>
      </c>
      <c r="H32">
        <v>291</v>
      </c>
      <c r="I32">
        <v>214</v>
      </c>
      <c r="J32">
        <v>157</v>
      </c>
      <c r="K32">
        <v>130</v>
      </c>
      <c r="L32">
        <v>130</v>
      </c>
      <c r="M32">
        <v>145</v>
      </c>
    </row>
    <row r="33" spans="1:15" x14ac:dyDescent="0.25">
      <c r="B33" s="5">
        <f t="shared" ref="B33:J33" si="3">SUMPRODUCT(ABS(B5:B10-B27:B32))</f>
        <v>607</v>
      </c>
      <c r="C33" s="5">
        <f t="shared" si="3"/>
        <v>1324</v>
      </c>
      <c r="D33" s="5">
        <f t="shared" si="3"/>
        <v>2104</v>
      </c>
      <c r="E33" s="5">
        <f t="shared" si="3"/>
        <v>1760</v>
      </c>
      <c r="F33" s="5">
        <f t="shared" si="3"/>
        <v>5602</v>
      </c>
      <c r="G33" s="5">
        <f t="shared" si="3"/>
        <v>1485</v>
      </c>
      <c r="H33" s="5">
        <f t="shared" si="3"/>
        <v>2564</v>
      </c>
      <c r="I33" s="5">
        <f t="shared" si="3"/>
        <v>7110</v>
      </c>
      <c r="J33" s="5">
        <f t="shared" si="3"/>
        <v>5820</v>
      </c>
      <c r="K33" s="5">
        <f>SUM(B33:J33)</f>
        <v>28376</v>
      </c>
    </row>
    <row r="34" spans="1:15" x14ac:dyDescent="0.25">
      <c r="B34" s="2">
        <f>ABS(SUM(B5:B10)-SUM(B27:B32))/SUM(B5:B10)</f>
        <v>4.105839416058394E-2</v>
      </c>
      <c r="C34" s="2">
        <f t="shared" ref="C34:J34" si="4">ABS(SUM(C5:C10)-SUM(C27:C32))/SUM(C5:C10)</f>
        <v>0.22319749216300941</v>
      </c>
      <c r="D34" s="2">
        <f t="shared" si="4"/>
        <v>1.481907894736842</v>
      </c>
      <c r="E34" s="2">
        <f t="shared" si="4"/>
        <v>0.30532938564026646</v>
      </c>
      <c r="F34" s="2">
        <f t="shared" si="4"/>
        <v>0.5951976200594985</v>
      </c>
      <c r="G34" s="2">
        <f t="shared" si="4"/>
        <v>0.30385038503850387</v>
      </c>
      <c r="H34" s="2">
        <f t="shared" si="4"/>
        <v>0.5219869706840391</v>
      </c>
      <c r="I34" s="2">
        <f t="shared" si="4"/>
        <v>0.81912681912681917</v>
      </c>
      <c r="J34" s="2">
        <f t="shared" si="4"/>
        <v>0.8440899202320522</v>
      </c>
      <c r="K34" s="4">
        <f>SUMPRODUCT(ABS(B5:J10-B27:J32))/SUM(B5:J10)</f>
        <v>0.64884640889031164</v>
      </c>
    </row>
    <row r="35" spans="1:15" x14ac:dyDescent="0.25">
      <c r="A35" t="s">
        <v>21</v>
      </c>
      <c r="B35" s="8"/>
      <c r="O35">
        <v>1</v>
      </c>
    </row>
    <row r="36" spans="1:15" x14ac:dyDescent="0.25">
      <c r="A36" t="s">
        <v>24</v>
      </c>
      <c r="B36" t="s">
        <v>3</v>
      </c>
    </row>
    <row r="37" spans="1:15" x14ac:dyDescent="0.25">
      <c r="A37" t="s">
        <v>0</v>
      </c>
      <c r="B37">
        <v>1146</v>
      </c>
      <c r="C37">
        <v>1901</v>
      </c>
      <c r="D37">
        <v>3051</v>
      </c>
      <c r="E37">
        <v>4609</v>
      </c>
      <c r="F37">
        <v>5712</v>
      </c>
      <c r="G37">
        <v>3876</v>
      </c>
      <c r="H37">
        <v>2883</v>
      </c>
      <c r="I37">
        <v>1988</v>
      </c>
      <c r="J37">
        <v>1434</v>
      </c>
      <c r="K37">
        <v>1159</v>
      </c>
      <c r="L37">
        <v>1243</v>
      </c>
      <c r="M37">
        <v>1566</v>
      </c>
    </row>
    <row r="38" spans="1:15" x14ac:dyDescent="0.25">
      <c r="A38" t="s">
        <v>1</v>
      </c>
      <c r="B38">
        <v>85</v>
      </c>
      <c r="C38">
        <v>141</v>
      </c>
      <c r="D38">
        <v>209</v>
      </c>
      <c r="E38">
        <v>282</v>
      </c>
      <c r="F38">
        <v>332</v>
      </c>
      <c r="G38">
        <v>334</v>
      </c>
      <c r="H38">
        <v>279</v>
      </c>
      <c r="I38">
        <v>192</v>
      </c>
      <c r="J38">
        <v>157</v>
      </c>
      <c r="K38">
        <v>141</v>
      </c>
      <c r="L38">
        <v>142</v>
      </c>
      <c r="M38">
        <v>162</v>
      </c>
    </row>
    <row r="39" spans="1:15" x14ac:dyDescent="0.25">
      <c r="A39" t="s">
        <v>16</v>
      </c>
      <c r="B39">
        <v>50</v>
      </c>
      <c r="C39">
        <v>83</v>
      </c>
      <c r="D39">
        <v>135</v>
      </c>
      <c r="E39">
        <v>204</v>
      </c>
      <c r="F39">
        <v>266</v>
      </c>
      <c r="G39">
        <v>308</v>
      </c>
      <c r="H39">
        <v>334</v>
      </c>
      <c r="I39">
        <v>167</v>
      </c>
      <c r="J39">
        <v>127</v>
      </c>
      <c r="K39">
        <v>84</v>
      </c>
      <c r="L39">
        <v>67</v>
      </c>
      <c r="M39">
        <v>77</v>
      </c>
    </row>
    <row r="40" spans="1:15" x14ac:dyDescent="0.25">
      <c r="A40" t="s">
        <v>17</v>
      </c>
      <c r="B40">
        <v>486</v>
      </c>
      <c r="C40">
        <v>832</v>
      </c>
      <c r="D40">
        <v>1405</v>
      </c>
      <c r="E40">
        <v>2273</v>
      </c>
      <c r="F40">
        <v>3359</v>
      </c>
      <c r="G40">
        <v>2448</v>
      </c>
      <c r="H40">
        <v>1920</v>
      </c>
      <c r="I40">
        <v>1297</v>
      </c>
      <c r="J40">
        <v>902</v>
      </c>
      <c r="K40">
        <v>713</v>
      </c>
      <c r="L40">
        <v>710</v>
      </c>
      <c r="M40">
        <v>832</v>
      </c>
    </row>
    <row r="41" spans="1:15" x14ac:dyDescent="0.25">
      <c r="A41" t="s">
        <v>20</v>
      </c>
      <c r="B41">
        <v>0</v>
      </c>
      <c r="C41">
        <v>0</v>
      </c>
      <c r="D41">
        <v>1</v>
      </c>
      <c r="E41">
        <v>2</v>
      </c>
      <c r="F41">
        <v>2</v>
      </c>
      <c r="G41">
        <v>3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5" x14ac:dyDescent="0.25">
      <c r="A42" t="s">
        <v>18</v>
      </c>
      <c r="B42">
        <v>92</v>
      </c>
      <c r="C42">
        <v>144</v>
      </c>
      <c r="D42">
        <v>227</v>
      </c>
      <c r="E42">
        <v>342</v>
      </c>
      <c r="F42">
        <v>390</v>
      </c>
      <c r="G42">
        <v>299</v>
      </c>
      <c r="H42">
        <v>210</v>
      </c>
      <c r="I42">
        <v>147</v>
      </c>
      <c r="J42">
        <v>109</v>
      </c>
      <c r="K42">
        <v>89</v>
      </c>
      <c r="L42">
        <v>90</v>
      </c>
      <c r="M42">
        <v>111</v>
      </c>
    </row>
    <row r="43" spans="1:15" x14ac:dyDescent="0.25">
      <c r="A43" t="s">
        <v>19</v>
      </c>
      <c r="B43">
        <v>216</v>
      </c>
      <c r="C43">
        <v>354</v>
      </c>
      <c r="D43">
        <v>553</v>
      </c>
      <c r="E43">
        <v>744</v>
      </c>
      <c r="F43">
        <v>829</v>
      </c>
      <c r="G43">
        <v>877</v>
      </c>
      <c r="H43">
        <v>928</v>
      </c>
      <c r="I43">
        <v>516</v>
      </c>
      <c r="J43">
        <v>369</v>
      </c>
      <c r="K43">
        <v>251</v>
      </c>
      <c r="L43">
        <v>221</v>
      </c>
      <c r="M43">
        <v>269</v>
      </c>
    </row>
    <row r="44" spans="1:15" x14ac:dyDescent="0.25">
      <c r="B44" s="5">
        <f>SUMPRODUCT(ABS(B5:B10-B38:B43))</f>
        <v>355</v>
      </c>
      <c r="C44" s="5">
        <f t="shared" ref="C44:J44" si="5">SUMPRODUCT(ABS(C5:C10-C38:C43))</f>
        <v>653</v>
      </c>
      <c r="D44" s="5">
        <f t="shared" si="5"/>
        <v>1604</v>
      </c>
      <c r="E44" s="5">
        <f t="shared" si="5"/>
        <v>1773</v>
      </c>
      <c r="F44" s="5">
        <f t="shared" si="5"/>
        <v>4382</v>
      </c>
      <c r="G44" s="5">
        <f t="shared" si="5"/>
        <v>932</v>
      </c>
      <c r="H44" s="5">
        <f t="shared" si="5"/>
        <v>1438</v>
      </c>
      <c r="I44" s="5">
        <f t="shared" si="5"/>
        <v>6582</v>
      </c>
      <c r="J44" s="5">
        <f t="shared" si="5"/>
        <v>5230</v>
      </c>
      <c r="K44" s="5">
        <f>SUM(B44:J44)</f>
        <v>22949</v>
      </c>
    </row>
    <row r="45" spans="1:15" x14ac:dyDescent="0.25">
      <c r="B45" s="3">
        <f>ABS(SUM(B5:B10)-SUM(B38:B43))/SUM(B5:B10)</f>
        <v>0.15237226277372262</v>
      </c>
      <c r="C45" s="3">
        <f t="shared" ref="C45:J45" si="6">ABS(SUM(C5:C10)-SUM(C38:C43))/SUM(C5:C10)</f>
        <v>2.5705329153605017E-2</v>
      </c>
      <c r="D45" s="3">
        <f t="shared" si="6"/>
        <v>1.080592105263158</v>
      </c>
      <c r="E45" s="3">
        <f t="shared" si="6"/>
        <v>0.288119911176906</v>
      </c>
      <c r="F45" s="3">
        <f t="shared" si="6"/>
        <v>0.44985125371865703</v>
      </c>
      <c r="G45" s="3">
        <f t="shared" si="6"/>
        <v>6.0726072607260727E-2</v>
      </c>
      <c r="H45" s="3">
        <f t="shared" si="6"/>
        <v>0.25244299674267101</v>
      </c>
      <c r="I45" s="3">
        <f t="shared" si="6"/>
        <v>0.73203973203973205</v>
      </c>
      <c r="J45" s="3">
        <f t="shared" si="6"/>
        <v>0.7585206671501088</v>
      </c>
      <c r="K45" s="4">
        <f>SUMPRODUCT(ABS(B5:J10-B38:J43))/SUM(B5:J10)</f>
        <v>0.52475247524752477</v>
      </c>
    </row>
    <row r="46" spans="1:15" x14ac:dyDescent="0.25">
      <c r="A46" t="s">
        <v>25</v>
      </c>
      <c r="D46" s="8"/>
      <c r="O46">
        <v>1</v>
      </c>
    </row>
    <row r="47" spans="1:15" x14ac:dyDescent="0.25">
      <c r="A47" t="s">
        <v>26</v>
      </c>
      <c r="B47" t="s">
        <v>3</v>
      </c>
    </row>
    <row r="48" spans="1:15" x14ac:dyDescent="0.25">
      <c r="A48" t="s">
        <v>0</v>
      </c>
      <c r="B48">
        <v>1177</v>
      </c>
      <c r="C48">
        <v>2387</v>
      </c>
      <c r="D48">
        <v>4303</v>
      </c>
      <c r="E48">
        <v>6442</v>
      </c>
      <c r="F48">
        <v>6885</v>
      </c>
      <c r="G48">
        <v>4530</v>
      </c>
      <c r="H48">
        <v>3041</v>
      </c>
      <c r="I48">
        <v>1902</v>
      </c>
      <c r="J48">
        <v>1264</v>
      </c>
      <c r="K48">
        <v>1004</v>
      </c>
      <c r="L48">
        <v>1092</v>
      </c>
      <c r="M48">
        <v>1434</v>
      </c>
    </row>
    <row r="49" spans="1:15" x14ac:dyDescent="0.25">
      <c r="A49" t="s">
        <v>1</v>
      </c>
      <c r="B49">
        <v>71</v>
      </c>
      <c r="C49">
        <v>125</v>
      </c>
      <c r="D49">
        <v>196</v>
      </c>
      <c r="E49">
        <v>263</v>
      </c>
      <c r="F49">
        <v>296</v>
      </c>
      <c r="G49">
        <v>276</v>
      </c>
      <c r="H49">
        <v>219</v>
      </c>
      <c r="I49">
        <v>162</v>
      </c>
      <c r="J49">
        <v>131</v>
      </c>
      <c r="K49">
        <v>124</v>
      </c>
      <c r="L49">
        <v>131</v>
      </c>
      <c r="M49">
        <v>146</v>
      </c>
    </row>
    <row r="50" spans="1:15" x14ac:dyDescent="0.25">
      <c r="A50" t="s">
        <v>16</v>
      </c>
      <c r="B50">
        <v>56</v>
      </c>
      <c r="C50">
        <v>123</v>
      </c>
      <c r="D50">
        <v>220</v>
      </c>
      <c r="E50">
        <v>347</v>
      </c>
      <c r="F50">
        <v>372</v>
      </c>
      <c r="G50">
        <v>360</v>
      </c>
      <c r="H50">
        <v>306</v>
      </c>
      <c r="I50">
        <v>188</v>
      </c>
      <c r="J50">
        <v>116</v>
      </c>
      <c r="K50">
        <v>76</v>
      </c>
      <c r="L50">
        <v>72</v>
      </c>
      <c r="M50">
        <v>98</v>
      </c>
    </row>
    <row r="51" spans="1:15" x14ac:dyDescent="0.25">
      <c r="A51" t="s">
        <v>17</v>
      </c>
      <c r="B51">
        <v>433</v>
      </c>
      <c r="C51">
        <v>1065</v>
      </c>
      <c r="D51">
        <v>1951</v>
      </c>
      <c r="E51">
        <v>3444</v>
      </c>
      <c r="F51">
        <v>5493</v>
      </c>
      <c r="G51">
        <v>2651</v>
      </c>
      <c r="H51">
        <v>1907</v>
      </c>
      <c r="I51">
        <v>1159</v>
      </c>
      <c r="J51">
        <v>740</v>
      </c>
      <c r="K51">
        <v>602</v>
      </c>
      <c r="L51">
        <v>713</v>
      </c>
      <c r="M51">
        <v>969</v>
      </c>
    </row>
    <row r="52" spans="1:15" x14ac:dyDescent="0.25">
      <c r="A52" t="s">
        <v>20</v>
      </c>
      <c r="B52">
        <v>0</v>
      </c>
      <c r="C52">
        <v>1</v>
      </c>
      <c r="D52">
        <v>1</v>
      </c>
      <c r="E52">
        <v>2</v>
      </c>
      <c r="F52">
        <v>4</v>
      </c>
      <c r="G52">
        <v>5</v>
      </c>
      <c r="H52">
        <v>2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5" x14ac:dyDescent="0.25">
      <c r="A53" t="s">
        <v>18</v>
      </c>
      <c r="B53">
        <v>121</v>
      </c>
      <c r="C53">
        <v>227</v>
      </c>
      <c r="D53">
        <v>407</v>
      </c>
      <c r="E53">
        <v>579</v>
      </c>
      <c r="F53">
        <v>482</v>
      </c>
      <c r="G53">
        <v>328</v>
      </c>
      <c r="H53">
        <v>215</v>
      </c>
      <c r="I53">
        <v>135</v>
      </c>
      <c r="J53">
        <v>93</v>
      </c>
      <c r="K53">
        <v>78</v>
      </c>
      <c r="L53">
        <v>88</v>
      </c>
      <c r="M53">
        <v>128</v>
      </c>
    </row>
    <row r="54" spans="1:15" x14ac:dyDescent="0.25">
      <c r="A54" t="s">
        <v>19</v>
      </c>
      <c r="B54">
        <v>218</v>
      </c>
      <c r="C54">
        <v>433</v>
      </c>
      <c r="D54">
        <v>708</v>
      </c>
      <c r="E54">
        <v>905</v>
      </c>
      <c r="F54">
        <v>855</v>
      </c>
      <c r="G54">
        <v>806</v>
      </c>
      <c r="H54">
        <v>677</v>
      </c>
      <c r="I54">
        <v>419</v>
      </c>
      <c r="J54">
        <v>247</v>
      </c>
      <c r="K54">
        <v>174</v>
      </c>
      <c r="L54">
        <v>185</v>
      </c>
      <c r="M54">
        <v>253</v>
      </c>
    </row>
    <row r="55" spans="1:15" x14ac:dyDescent="0.25">
      <c r="B55" s="5">
        <f t="shared" ref="B55:J55" si="7">SUMPRODUCT(ABS(B5:B10-B49:B54))</f>
        <v>417</v>
      </c>
      <c r="C55" s="5">
        <f t="shared" si="7"/>
        <v>915</v>
      </c>
      <c r="D55" s="5">
        <f t="shared" si="7"/>
        <v>2451</v>
      </c>
      <c r="E55" s="5">
        <f t="shared" si="7"/>
        <v>722</v>
      </c>
      <c r="F55" s="5">
        <f t="shared" si="7"/>
        <v>2242</v>
      </c>
      <c r="G55" s="5">
        <f t="shared" si="7"/>
        <v>821</v>
      </c>
      <c r="H55" s="5">
        <f t="shared" si="7"/>
        <v>1738</v>
      </c>
      <c r="I55" s="5">
        <f t="shared" si="7"/>
        <v>6856</v>
      </c>
      <c r="J55" s="5">
        <f t="shared" si="7"/>
        <v>5567</v>
      </c>
      <c r="K55" s="5">
        <f>SUM(B55:J55)</f>
        <v>21729</v>
      </c>
    </row>
    <row r="56" spans="1:15" x14ac:dyDescent="0.25">
      <c r="B56" s="2">
        <f t="shared" ref="B56:J56" si="8">ABS(SUM(B5:B10)-SUM(B49:B54))/SUM(B5:B10)</f>
        <v>0.17974452554744524</v>
      </c>
      <c r="C56" s="2">
        <f t="shared" si="8"/>
        <v>0.23761755485893418</v>
      </c>
      <c r="D56" s="2">
        <f t="shared" si="8"/>
        <v>1.8643092105263157</v>
      </c>
      <c r="E56" s="2">
        <f t="shared" si="8"/>
        <v>2.5166543301258327E-2</v>
      </c>
      <c r="F56" s="2">
        <f t="shared" si="8"/>
        <v>0.20293242668933276</v>
      </c>
      <c r="G56" s="2">
        <f t="shared" si="8"/>
        <v>2.6182618261826184E-2</v>
      </c>
      <c r="H56" s="2">
        <f t="shared" si="8"/>
        <v>0.32288273615635177</v>
      </c>
      <c r="I56" s="2">
        <f t="shared" si="8"/>
        <v>0.76160776160776156</v>
      </c>
      <c r="J56" s="2">
        <f t="shared" si="8"/>
        <v>0.80739666424945611</v>
      </c>
      <c r="K56" s="4">
        <f>SUMPRODUCT(ABS(B5:J10-B49:J54))/SUM(B5:J10)</f>
        <v>0.49685592115793564</v>
      </c>
    </row>
    <row r="57" spans="1:15" x14ac:dyDescent="0.25">
      <c r="A57" t="s">
        <v>25</v>
      </c>
      <c r="O57">
        <v>0</v>
      </c>
    </row>
    <row r="58" spans="1:15" x14ac:dyDescent="0.25">
      <c r="A58" t="s">
        <v>24</v>
      </c>
      <c r="B58" t="s">
        <v>3</v>
      </c>
    </row>
    <row r="59" spans="1:15" x14ac:dyDescent="0.25">
      <c r="A59" t="s">
        <v>0</v>
      </c>
      <c r="B59">
        <v>1164</v>
      </c>
      <c r="C59">
        <v>2316</v>
      </c>
      <c r="D59">
        <v>4118</v>
      </c>
      <c r="E59">
        <v>6158</v>
      </c>
      <c r="F59">
        <v>6675</v>
      </c>
      <c r="G59">
        <v>4163</v>
      </c>
      <c r="H59">
        <v>2776</v>
      </c>
      <c r="I59">
        <v>1698</v>
      </c>
      <c r="J59">
        <v>1107</v>
      </c>
      <c r="K59">
        <v>907</v>
      </c>
      <c r="L59">
        <v>1015</v>
      </c>
      <c r="M59">
        <v>1368</v>
      </c>
    </row>
    <row r="60" spans="1:15" x14ac:dyDescent="0.25">
      <c r="A60" t="s">
        <v>1</v>
      </c>
      <c r="B60">
        <v>67</v>
      </c>
      <c r="C60">
        <v>124</v>
      </c>
      <c r="D60">
        <v>201</v>
      </c>
      <c r="E60">
        <v>276</v>
      </c>
      <c r="F60">
        <v>314</v>
      </c>
      <c r="G60">
        <v>292</v>
      </c>
      <c r="H60">
        <v>230</v>
      </c>
      <c r="I60">
        <v>168</v>
      </c>
      <c r="J60">
        <v>134</v>
      </c>
      <c r="K60">
        <v>126</v>
      </c>
      <c r="L60">
        <v>132</v>
      </c>
      <c r="M60">
        <v>151</v>
      </c>
    </row>
    <row r="61" spans="1:15" x14ac:dyDescent="0.25">
      <c r="A61" t="s">
        <v>16</v>
      </c>
      <c r="B61">
        <v>57</v>
      </c>
      <c r="C61">
        <v>119</v>
      </c>
      <c r="D61">
        <v>211</v>
      </c>
      <c r="E61">
        <v>332</v>
      </c>
      <c r="F61">
        <v>362</v>
      </c>
      <c r="G61">
        <v>351</v>
      </c>
      <c r="H61">
        <v>298</v>
      </c>
      <c r="I61">
        <v>172</v>
      </c>
      <c r="J61">
        <v>105</v>
      </c>
      <c r="K61">
        <v>69</v>
      </c>
      <c r="L61">
        <v>73</v>
      </c>
      <c r="M61">
        <v>100</v>
      </c>
    </row>
    <row r="62" spans="1:15" x14ac:dyDescent="0.25">
      <c r="A62" t="s">
        <v>17</v>
      </c>
      <c r="B62">
        <v>457</v>
      </c>
      <c r="C62">
        <v>1059</v>
      </c>
      <c r="D62">
        <v>1949</v>
      </c>
      <c r="E62">
        <v>3422</v>
      </c>
      <c r="F62">
        <v>5380</v>
      </c>
      <c r="G62">
        <v>2725</v>
      </c>
      <c r="H62">
        <v>1844</v>
      </c>
      <c r="I62">
        <v>1093</v>
      </c>
      <c r="J62">
        <v>676</v>
      </c>
      <c r="K62">
        <v>580</v>
      </c>
      <c r="L62">
        <v>757</v>
      </c>
      <c r="M62">
        <v>1012</v>
      </c>
    </row>
    <row r="63" spans="1:15" x14ac:dyDescent="0.25">
      <c r="A63" t="s">
        <v>20</v>
      </c>
      <c r="B63">
        <v>0</v>
      </c>
      <c r="C63">
        <v>1</v>
      </c>
      <c r="D63">
        <v>1</v>
      </c>
      <c r="E63">
        <v>2</v>
      </c>
      <c r="F63">
        <v>3</v>
      </c>
      <c r="G63">
        <v>4</v>
      </c>
      <c r="H63">
        <v>2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5" x14ac:dyDescent="0.25">
      <c r="A64" t="s">
        <v>18</v>
      </c>
      <c r="B64">
        <v>117</v>
      </c>
      <c r="C64">
        <v>220</v>
      </c>
      <c r="D64">
        <v>390</v>
      </c>
      <c r="E64">
        <v>550</v>
      </c>
      <c r="F64">
        <v>471</v>
      </c>
      <c r="G64">
        <v>307</v>
      </c>
      <c r="H64">
        <v>200</v>
      </c>
      <c r="I64">
        <v>122</v>
      </c>
      <c r="J64">
        <v>83</v>
      </c>
      <c r="K64">
        <v>72</v>
      </c>
      <c r="L64">
        <v>84</v>
      </c>
      <c r="M64">
        <v>128</v>
      </c>
    </row>
    <row r="65" spans="1:15" x14ac:dyDescent="0.25">
      <c r="A65" t="s">
        <v>19</v>
      </c>
      <c r="B65">
        <v>225</v>
      </c>
      <c r="C65">
        <v>429</v>
      </c>
      <c r="D65">
        <v>702</v>
      </c>
      <c r="E65">
        <v>888</v>
      </c>
      <c r="F65">
        <v>836</v>
      </c>
      <c r="G65">
        <v>773</v>
      </c>
      <c r="H65">
        <v>646</v>
      </c>
      <c r="I65">
        <v>374</v>
      </c>
      <c r="J65">
        <v>219</v>
      </c>
      <c r="K65">
        <v>168</v>
      </c>
      <c r="L65">
        <v>196</v>
      </c>
      <c r="M65">
        <v>260</v>
      </c>
    </row>
    <row r="66" spans="1:15" x14ac:dyDescent="0.25">
      <c r="B66" s="5">
        <f t="shared" ref="B66:J66" si="9">SUMPRODUCT(ABS(B5:B10-B60:B65))</f>
        <v>379</v>
      </c>
      <c r="C66" s="5">
        <f t="shared" si="9"/>
        <v>901</v>
      </c>
      <c r="D66" s="5">
        <f t="shared" si="9"/>
        <v>2422</v>
      </c>
      <c r="E66" s="5">
        <f t="shared" si="9"/>
        <v>686</v>
      </c>
      <c r="F66" s="5">
        <f t="shared" si="9"/>
        <v>2356</v>
      </c>
      <c r="G66" s="5">
        <f t="shared" si="9"/>
        <v>767</v>
      </c>
      <c r="H66" s="5">
        <f t="shared" si="9"/>
        <v>1798</v>
      </c>
      <c r="I66" s="5">
        <f t="shared" si="9"/>
        <v>6954</v>
      </c>
      <c r="J66" s="5">
        <f t="shared" si="9"/>
        <v>5677</v>
      </c>
      <c r="K66" s="5">
        <f>SUM(B66:J66)</f>
        <v>21940</v>
      </c>
    </row>
    <row r="67" spans="1:15" x14ac:dyDescent="0.25">
      <c r="B67" s="2">
        <f t="shared" ref="B67:J67" si="10">ABS(SUM(B5:B10)-SUM(B60:B65))/SUM(B5:B10)</f>
        <v>0.15784671532846714</v>
      </c>
      <c r="C67" s="2">
        <f t="shared" si="10"/>
        <v>0.22382445141065832</v>
      </c>
      <c r="D67" s="2">
        <f t="shared" si="10"/>
        <v>1.8404605263157894</v>
      </c>
      <c r="E67" s="2">
        <f t="shared" si="10"/>
        <v>1.2213175425610659E-2</v>
      </c>
      <c r="F67" s="2">
        <f t="shared" si="10"/>
        <v>0.2173820654483638</v>
      </c>
      <c r="G67" s="2">
        <f t="shared" si="10"/>
        <v>2.0462046204620461E-2</v>
      </c>
      <c r="H67" s="2">
        <f t="shared" si="10"/>
        <v>0.34446254071661236</v>
      </c>
      <c r="I67" s="2">
        <f t="shared" si="10"/>
        <v>0.77708477708477708</v>
      </c>
      <c r="J67" s="2">
        <f t="shared" si="10"/>
        <v>0.82335025380710658</v>
      </c>
      <c r="K67" s="4">
        <f>SUMPRODUCT(ABS(B5:J10-B60:J65))/SUM(B5:J10)</f>
        <v>0.50168065305375809</v>
      </c>
    </row>
    <row r="68" spans="1:15" x14ac:dyDescent="0.25">
      <c r="A68" t="s">
        <v>25</v>
      </c>
      <c r="E68" s="8"/>
      <c r="G68" s="8"/>
      <c r="O68">
        <v>2</v>
      </c>
    </row>
    <row r="69" spans="1:15" x14ac:dyDescent="0.25">
      <c r="A69" t="s">
        <v>30</v>
      </c>
      <c r="B69" t="s">
        <v>3</v>
      </c>
    </row>
    <row r="70" spans="1:15" x14ac:dyDescent="0.25">
      <c r="A70" t="s">
        <v>0</v>
      </c>
      <c r="B70">
        <v>1328</v>
      </c>
      <c r="C70">
        <v>2660</v>
      </c>
      <c r="D70">
        <v>4807</v>
      </c>
      <c r="E70">
        <v>6750</v>
      </c>
      <c r="F70">
        <v>7142</v>
      </c>
      <c r="G70">
        <v>4142</v>
      </c>
      <c r="H70">
        <v>2721</v>
      </c>
      <c r="I70">
        <v>1656</v>
      </c>
      <c r="J70">
        <v>1156</v>
      </c>
      <c r="K70">
        <v>1341</v>
      </c>
      <c r="L70">
        <v>1651</v>
      </c>
      <c r="M70">
        <v>2175</v>
      </c>
    </row>
    <row r="71" spans="1:15" x14ac:dyDescent="0.25">
      <c r="A71" t="s">
        <v>1</v>
      </c>
      <c r="B71">
        <v>96</v>
      </c>
      <c r="C71">
        <v>168</v>
      </c>
      <c r="D71">
        <v>257</v>
      </c>
      <c r="E71">
        <v>337</v>
      </c>
      <c r="F71">
        <v>381</v>
      </c>
      <c r="G71">
        <v>356</v>
      </c>
      <c r="H71">
        <v>284</v>
      </c>
      <c r="I71">
        <v>211</v>
      </c>
      <c r="J71">
        <v>177</v>
      </c>
      <c r="K71">
        <v>169</v>
      </c>
      <c r="L71">
        <v>186</v>
      </c>
      <c r="M71">
        <v>236</v>
      </c>
    </row>
    <row r="72" spans="1:15" x14ac:dyDescent="0.25">
      <c r="A72" t="s">
        <v>16</v>
      </c>
      <c r="B72">
        <v>74</v>
      </c>
      <c r="C72">
        <v>155</v>
      </c>
      <c r="D72">
        <v>273</v>
      </c>
      <c r="E72">
        <v>380</v>
      </c>
      <c r="F72">
        <v>384</v>
      </c>
      <c r="G72">
        <v>356</v>
      </c>
      <c r="H72">
        <v>290</v>
      </c>
      <c r="I72">
        <v>168</v>
      </c>
      <c r="J72">
        <v>100</v>
      </c>
      <c r="K72">
        <v>77</v>
      </c>
      <c r="L72">
        <v>100</v>
      </c>
      <c r="M72">
        <v>130</v>
      </c>
    </row>
    <row r="73" spans="1:15" x14ac:dyDescent="0.25">
      <c r="A73" t="s">
        <v>17</v>
      </c>
      <c r="B73">
        <v>611</v>
      </c>
      <c r="C73">
        <v>1433</v>
      </c>
      <c r="D73">
        <v>2737</v>
      </c>
      <c r="E73">
        <v>4452</v>
      </c>
      <c r="F73">
        <v>5951</v>
      </c>
      <c r="G73">
        <v>3120</v>
      </c>
      <c r="H73">
        <v>2158</v>
      </c>
      <c r="I73">
        <v>1340</v>
      </c>
      <c r="J73">
        <v>757</v>
      </c>
      <c r="K73">
        <v>874</v>
      </c>
      <c r="L73">
        <v>1265</v>
      </c>
      <c r="M73">
        <v>1564</v>
      </c>
    </row>
    <row r="74" spans="1:15" x14ac:dyDescent="0.25">
      <c r="A74" t="s">
        <v>20</v>
      </c>
      <c r="B74">
        <v>0</v>
      </c>
      <c r="C74">
        <v>1</v>
      </c>
      <c r="D74">
        <v>1</v>
      </c>
      <c r="E74">
        <v>3</v>
      </c>
      <c r="F74">
        <v>4</v>
      </c>
      <c r="G74">
        <v>4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</row>
    <row r="75" spans="1:15" x14ac:dyDescent="0.25">
      <c r="A75" t="s">
        <v>18</v>
      </c>
      <c r="B75">
        <v>126</v>
      </c>
      <c r="C75">
        <v>253</v>
      </c>
      <c r="D75">
        <v>470</v>
      </c>
      <c r="E75">
        <v>609</v>
      </c>
      <c r="F75">
        <v>513</v>
      </c>
      <c r="G75">
        <v>315</v>
      </c>
      <c r="H75">
        <v>203</v>
      </c>
      <c r="I75">
        <v>122</v>
      </c>
      <c r="J75">
        <v>96</v>
      </c>
      <c r="K75">
        <v>122</v>
      </c>
      <c r="L75">
        <v>144</v>
      </c>
      <c r="M75">
        <v>201</v>
      </c>
    </row>
    <row r="76" spans="1:15" x14ac:dyDescent="0.25">
      <c r="A76" t="s">
        <v>19</v>
      </c>
      <c r="B76">
        <v>270</v>
      </c>
      <c r="C76">
        <v>522</v>
      </c>
      <c r="D76">
        <v>785</v>
      </c>
      <c r="E76">
        <v>919</v>
      </c>
      <c r="F76">
        <v>882</v>
      </c>
      <c r="G76">
        <v>791</v>
      </c>
      <c r="H76">
        <v>642</v>
      </c>
      <c r="I76">
        <v>385</v>
      </c>
      <c r="J76">
        <v>231</v>
      </c>
      <c r="K76">
        <v>204</v>
      </c>
      <c r="L76">
        <v>262</v>
      </c>
      <c r="M76">
        <v>346</v>
      </c>
    </row>
    <row r="77" spans="1:15" x14ac:dyDescent="0.25">
      <c r="B77" s="5">
        <f>SUMPRODUCT(ABS(B5:B10-B71:B76))</f>
        <v>427</v>
      </c>
      <c r="C77" s="5">
        <f t="shared" ref="C77:J77" si="11">SUMPRODUCT(ABS(C5:C10-C71:C76))</f>
        <v>1295</v>
      </c>
      <c r="D77" s="5">
        <f t="shared" si="11"/>
        <v>3491</v>
      </c>
      <c r="E77" s="5">
        <f t="shared" si="11"/>
        <v>1852</v>
      </c>
      <c r="F77" s="5">
        <f t="shared" si="11"/>
        <v>1691</v>
      </c>
      <c r="G77" s="5">
        <f t="shared" si="11"/>
        <v>967</v>
      </c>
      <c r="H77" s="5">
        <f t="shared" si="11"/>
        <v>1429</v>
      </c>
      <c r="I77" s="5">
        <f t="shared" si="11"/>
        <v>6649</v>
      </c>
      <c r="J77" s="5">
        <f t="shared" si="11"/>
        <v>5533</v>
      </c>
      <c r="K77" s="5">
        <f>SUM(B77:J77)</f>
        <v>23334</v>
      </c>
    </row>
    <row r="78" spans="1:15" x14ac:dyDescent="0.25">
      <c r="B78" s="2">
        <f>ABS(SUM(B5:B10)-SUM(B71:B76))/SUM(B5:B10)</f>
        <v>7.3905109489051102E-2</v>
      </c>
      <c r="C78" s="2">
        <f t="shared" ref="C78:J78" si="12">ABS(SUM(C5:C10)-SUM(C71:C76))/SUM(C5:C10)</f>
        <v>0.58746081504702197</v>
      </c>
      <c r="D78" s="2">
        <f t="shared" si="12"/>
        <v>2.7195723684210527</v>
      </c>
      <c r="E78" s="2">
        <f t="shared" si="12"/>
        <v>0.23982235381199113</v>
      </c>
      <c r="F78" s="2">
        <f t="shared" si="12"/>
        <v>0.13780280492987676</v>
      </c>
      <c r="G78" s="2">
        <f t="shared" si="12"/>
        <v>8.7348734873487349E-2</v>
      </c>
      <c r="H78" s="2">
        <f t="shared" si="12"/>
        <v>0.27137622149837132</v>
      </c>
      <c r="I78" s="2">
        <f t="shared" si="12"/>
        <v>0.7427812427812428</v>
      </c>
      <c r="J78" s="2">
        <f t="shared" si="12"/>
        <v>0.80246555474981873</v>
      </c>
      <c r="K78" s="4">
        <f>SUMPRODUCT(ABS(B5:J10-B71:J76))/SUM(B5:J10)</f>
        <v>0.53355589600530495</v>
      </c>
    </row>
    <row r="79" spans="1:15" x14ac:dyDescent="0.25">
      <c r="A79" t="s">
        <v>27</v>
      </c>
      <c r="F79" s="8"/>
      <c r="O79">
        <v>1</v>
      </c>
    </row>
    <row r="80" spans="1:15" x14ac:dyDescent="0.25">
      <c r="A80" t="s">
        <v>26</v>
      </c>
      <c r="B80" t="s">
        <v>3</v>
      </c>
    </row>
    <row r="81" spans="1:15" x14ac:dyDescent="0.25">
      <c r="A81" t="s">
        <v>0</v>
      </c>
      <c r="B81">
        <v>1339</v>
      </c>
      <c r="C81">
        <v>2567</v>
      </c>
      <c r="D81">
        <v>4241</v>
      </c>
      <c r="E81">
        <v>5799</v>
      </c>
      <c r="F81">
        <v>6544</v>
      </c>
      <c r="G81">
        <v>4374</v>
      </c>
      <c r="H81">
        <v>3102</v>
      </c>
      <c r="I81">
        <v>2121</v>
      </c>
      <c r="J81">
        <v>1499</v>
      </c>
      <c r="K81">
        <v>1442</v>
      </c>
      <c r="L81">
        <v>1770</v>
      </c>
      <c r="M81">
        <v>2144</v>
      </c>
    </row>
    <row r="82" spans="1:15" x14ac:dyDescent="0.25">
      <c r="A82" t="s">
        <v>1</v>
      </c>
      <c r="B82">
        <v>105</v>
      </c>
      <c r="C82">
        <v>181</v>
      </c>
      <c r="D82">
        <v>300</v>
      </c>
      <c r="E82">
        <v>426</v>
      </c>
      <c r="F82">
        <v>501</v>
      </c>
      <c r="G82">
        <v>495</v>
      </c>
      <c r="H82">
        <v>404</v>
      </c>
      <c r="I82">
        <v>267</v>
      </c>
      <c r="J82">
        <v>223</v>
      </c>
      <c r="K82">
        <v>196</v>
      </c>
      <c r="L82">
        <v>194</v>
      </c>
      <c r="M82">
        <v>216</v>
      </c>
    </row>
    <row r="83" spans="1:15" x14ac:dyDescent="0.25">
      <c r="A83" t="s">
        <v>16</v>
      </c>
      <c r="B83">
        <v>54</v>
      </c>
      <c r="C83">
        <v>108</v>
      </c>
      <c r="D83">
        <v>187</v>
      </c>
      <c r="E83">
        <v>270</v>
      </c>
      <c r="F83">
        <v>306</v>
      </c>
      <c r="G83">
        <v>318</v>
      </c>
      <c r="H83">
        <v>296</v>
      </c>
      <c r="I83">
        <v>175</v>
      </c>
      <c r="J83">
        <v>120</v>
      </c>
      <c r="K83">
        <v>78</v>
      </c>
      <c r="L83">
        <v>75</v>
      </c>
      <c r="M83">
        <v>98</v>
      </c>
    </row>
    <row r="84" spans="1:15" x14ac:dyDescent="0.25">
      <c r="A84" t="s">
        <v>17</v>
      </c>
      <c r="B84">
        <v>492</v>
      </c>
      <c r="C84">
        <v>996</v>
      </c>
      <c r="D84">
        <v>1810</v>
      </c>
      <c r="E84">
        <v>2930</v>
      </c>
      <c r="F84">
        <v>4238</v>
      </c>
      <c r="G84">
        <v>3083</v>
      </c>
      <c r="H84">
        <v>2201</v>
      </c>
      <c r="I84">
        <v>1587</v>
      </c>
      <c r="J84">
        <v>1015</v>
      </c>
      <c r="K84">
        <v>742</v>
      </c>
      <c r="L84">
        <v>854</v>
      </c>
      <c r="M84">
        <v>1104</v>
      </c>
    </row>
    <row r="85" spans="1:15" x14ac:dyDescent="0.25">
      <c r="A85" t="s">
        <v>20</v>
      </c>
      <c r="B85">
        <v>0</v>
      </c>
      <c r="C85">
        <v>1</v>
      </c>
      <c r="D85">
        <v>1</v>
      </c>
      <c r="E85">
        <v>2</v>
      </c>
      <c r="F85">
        <v>3</v>
      </c>
      <c r="G85">
        <v>4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</row>
    <row r="86" spans="1:15" x14ac:dyDescent="0.25">
      <c r="A86" t="s">
        <v>18</v>
      </c>
      <c r="B86">
        <v>116</v>
      </c>
      <c r="C86">
        <v>216</v>
      </c>
      <c r="D86">
        <v>372</v>
      </c>
      <c r="E86">
        <v>511</v>
      </c>
      <c r="F86">
        <v>500</v>
      </c>
      <c r="G86">
        <v>351</v>
      </c>
      <c r="H86">
        <v>246</v>
      </c>
      <c r="I86">
        <v>167</v>
      </c>
      <c r="J86">
        <v>120</v>
      </c>
      <c r="K86">
        <v>121</v>
      </c>
      <c r="L86">
        <v>149</v>
      </c>
      <c r="M86">
        <v>181</v>
      </c>
    </row>
    <row r="87" spans="1:15" x14ac:dyDescent="0.25">
      <c r="A87" t="s">
        <v>19</v>
      </c>
      <c r="B87">
        <v>207</v>
      </c>
      <c r="C87">
        <v>364</v>
      </c>
      <c r="D87">
        <v>566</v>
      </c>
      <c r="E87">
        <v>707</v>
      </c>
      <c r="F87">
        <v>710</v>
      </c>
      <c r="G87">
        <v>713</v>
      </c>
      <c r="H87">
        <v>669</v>
      </c>
      <c r="I87">
        <v>400</v>
      </c>
      <c r="J87">
        <v>267</v>
      </c>
      <c r="K87">
        <v>208</v>
      </c>
      <c r="L87">
        <v>224</v>
      </c>
      <c r="M87">
        <v>272</v>
      </c>
    </row>
    <row r="88" spans="1:15" s="1" customFormat="1" x14ac:dyDescent="0.25">
      <c r="A88"/>
      <c r="B88" s="5">
        <f t="shared" ref="B88:J88" si="13">SUMPRODUCT(ABS(B5:B10-B82:B87))</f>
        <v>396</v>
      </c>
      <c r="C88" s="5">
        <f t="shared" si="13"/>
        <v>945</v>
      </c>
      <c r="D88" s="5">
        <f t="shared" si="13"/>
        <v>2204</v>
      </c>
      <c r="E88" s="5">
        <f t="shared" si="13"/>
        <v>1162</v>
      </c>
      <c r="F88" s="5">
        <f t="shared" si="13"/>
        <v>3716</v>
      </c>
      <c r="G88" s="5">
        <f t="shared" si="13"/>
        <v>1145</v>
      </c>
      <c r="H88" s="5">
        <f t="shared" si="13"/>
        <v>1509</v>
      </c>
      <c r="I88" s="5">
        <f t="shared" si="13"/>
        <v>6361</v>
      </c>
      <c r="J88" s="5">
        <f t="shared" si="13"/>
        <v>5149</v>
      </c>
      <c r="K88" s="6">
        <f>SUM(B88:J88)</f>
        <v>22587</v>
      </c>
    </row>
    <row r="89" spans="1:15" x14ac:dyDescent="0.25">
      <c r="B89" s="2">
        <f t="shared" ref="B89:J89" si="14">ABS(SUM(B5:B10)-SUM(B82:B87))/SUM(B5:B10)</f>
        <v>0.11131386861313869</v>
      </c>
      <c r="C89" s="2">
        <f t="shared" si="14"/>
        <v>0.16990595611285267</v>
      </c>
      <c r="D89" s="2">
        <f t="shared" si="14"/>
        <v>1.6611842105263157</v>
      </c>
      <c r="E89" s="2">
        <f t="shared" si="14"/>
        <v>0.10325684678016284</v>
      </c>
      <c r="F89" s="2">
        <f t="shared" si="14"/>
        <v>0.3351041223969401</v>
      </c>
      <c r="G89" s="2">
        <f t="shared" si="14"/>
        <v>9.2189218921892191E-2</v>
      </c>
      <c r="H89" s="2">
        <f t="shared" si="14"/>
        <v>0.22292345276872963</v>
      </c>
      <c r="I89" s="2">
        <f t="shared" si="14"/>
        <v>0.7000462000462</v>
      </c>
      <c r="J89" s="2">
        <f t="shared" si="14"/>
        <v>0.74677302393038436</v>
      </c>
      <c r="K89" s="4">
        <f>SUMPRODUCT(ABS(B5:J10-B82:J87))/SUM(B5:J10)</f>
        <v>0.51647497313241719</v>
      </c>
    </row>
    <row r="90" spans="1:15" x14ac:dyDescent="0.25">
      <c r="A90" t="s">
        <v>27</v>
      </c>
      <c r="O90">
        <v>0</v>
      </c>
    </row>
    <row r="91" spans="1:15" x14ac:dyDescent="0.25">
      <c r="A91" t="s">
        <v>24</v>
      </c>
      <c r="B91" t="s">
        <v>3</v>
      </c>
    </row>
    <row r="92" spans="1:15" x14ac:dyDescent="0.25">
      <c r="A92" t="s">
        <v>0</v>
      </c>
      <c r="B92">
        <v>1187</v>
      </c>
      <c r="C92">
        <v>2143</v>
      </c>
      <c r="D92">
        <v>3636</v>
      </c>
      <c r="E92">
        <v>5463</v>
      </c>
      <c r="F92">
        <v>6694</v>
      </c>
      <c r="G92">
        <v>4529</v>
      </c>
      <c r="H92">
        <v>3283</v>
      </c>
      <c r="I92">
        <v>2264</v>
      </c>
      <c r="J92">
        <v>1632</v>
      </c>
      <c r="K92">
        <v>1531</v>
      </c>
      <c r="L92">
        <v>1746</v>
      </c>
      <c r="M92">
        <v>2032</v>
      </c>
    </row>
    <row r="93" spans="1:15" x14ac:dyDescent="0.25">
      <c r="A93" t="s">
        <v>1</v>
      </c>
      <c r="B93">
        <v>74</v>
      </c>
      <c r="C93">
        <v>124</v>
      </c>
      <c r="D93">
        <v>208</v>
      </c>
      <c r="E93">
        <v>311</v>
      </c>
      <c r="F93">
        <v>384</v>
      </c>
      <c r="G93">
        <v>392</v>
      </c>
      <c r="H93">
        <v>333</v>
      </c>
      <c r="I93">
        <v>235</v>
      </c>
      <c r="J93">
        <v>190</v>
      </c>
      <c r="K93">
        <v>174</v>
      </c>
      <c r="L93">
        <v>173</v>
      </c>
      <c r="M93">
        <v>183</v>
      </c>
    </row>
    <row r="94" spans="1:15" x14ac:dyDescent="0.25">
      <c r="A94" t="s">
        <v>16</v>
      </c>
      <c r="B94">
        <v>56</v>
      </c>
      <c r="C94">
        <v>96</v>
      </c>
      <c r="D94">
        <v>160</v>
      </c>
      <c r="E94">
        <v>262</v>
      </c>
      <c r="F94">
        <v>326</v>
      </c>
      <c r="G94">
        <v>341</v>
      </c>
      <c r="H94">
        <v>321</v>
      </c>
      <c r="I94">
        <v>194</v>
      </c>
      <c r="J94">
        <v>136</v>
      </c>
      <c r="K94">
        <v>92</v>
      </c>
      <c r="L94">
        <v>84</v>
      </c>
      <c r="M94">
        <v>100</v>
      </c>
    </row>
    <row r="95" spans="1:15" x14ac:dyDescent="0.25">
      <c r="A95" t="s">
        <v>17</v>
      </c>
      <c r="B95">
        <v>468</v>
      </c>
      <c r="C95">
        <v>847</v>
      </c>
      <c r="D95">
        <v>1458</v>
      </c>
      <c r="E95">
        <v>2488</v>
      </c>
      <c r="F95">
        <v>4008</v>
      </c>
      <c r="G95">
        <v>3092</v>
      </c>
      <c r="H95">
        <v>2229</v>
      </c>
      <c r="I95">
        <v>1542</v>
      </c>
      <c r="J95">
        <v>1048</v>
      </c>
      <c r="K95">
        <v>796</v>
      </c>
      <c r="L95">
        <v>841</v>
      </c>
      <c r="M95">
        <v>1019</v>
      </c>
    </row>
    <row r="96" spans="1:15" x14ac:dyDescent="0.25">
      <c r="A96" t="s">
        <v>20</v>
      </c>
      <c r="B96">
        <v>0</v>
      </c>
      <c r="C96">
        <v>0</v>
      </c>
      <c r="D96">
        <v>1</v>
      </c>
      <c r="E96">
        <v>1</v>
      </c>
      <c r="F96">
        <v>2</v>
      </c>
      <c r="G96">
        <v>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</row>
    <row r="97" spans="1:15" x14ac:dyDescent="0.25">
      <c r="A97" t="s">
        <v>18</v>
      </c>
      <c r="B97">
        <v>99</v>
      </c>
      <c r="C97">
        <v>176</v>
      </c>
      <c r="D97">
        <v>305</v>
      </c>
      <c r="E97">
        <v>466</v>
      </c>
      <c r="F97">
        <v>488</v>
      </c>
      <c r="G97">
        <v>353</v>
      </c>
      <c r="H97">
        <v>247</v>
      </c>
      <c r="I97">
        <v>171</v>
      </c>
      <c r="J97">
        <v>128</v>
      </c>
      <c r="K97">
        <v>124</v>
      </c>
      <c r="L97">
        <v>141</v>
      </c>
      <c r="M97">
        <v>163</v>
      </c>
    </row>
    <row r="98" spans="1:15" x14ac:dyDescent="0.25">
      <c r="A98" t="s">
        <v>19</v>
      </c>
      <c r="B98">
        <v>222</v>
      </c>
      <c r="C98">
        <v>375</v>
      </c>
      <c r="D98">
        <v>592</v>
      </c>
      <c r="E98">
        <v>774</v>
      </c>
      <c r="F98">
        <v>772</v>
      </c>
      <c r="G98">
        <v>770</v>
      </c>
      <c r="H98">
        <v>689</v>
      </c>
      <c r="I98">
        <v>434</v>
      </c>
      <c r="J98">
        <v>287</v>
      </c>
      <c r="K98">
        <v>228</v>
      </c>
      <c r="L98">
        <v>241</v>
      </c>
      <c r="M98">
        <v>290</v>
      </c>
    </row>
    <row r="99" spans="1:15" x14ac:dyDescent="0.25">
      <c r="B99" s="5">
        <f t="shared" ref="B99:J99" si="15">SUMPRODUCT(ABS(B5:B10-B93:B98))</f>
        <v>359</v>
      </c>
      <c r="C99" s="5">
        <f t="shared" si="15"/>
        <v>675</v>
      </c>
      <c r="D99" s="5">
        <f t="shared" si="15"/>
        <v>1692</v>
      </c>
      <c r="E99" s="5">
        <f t="shared" si="15"/>
        <v>1460</v>
      </c>
      <c r="F99" s="5">
        <f t="shared" si="15"/>
        <v>3776</v>
      </c>
      <c r="G99" s="5">
        <f t="shared" si="15"/>
        <v>1020</v>
      </c>
      <c r="H99" s="5">
        <f t="shared" si="15"/>
        <v>1416</v>
      </c>
      <c r="I99" s="5">
        <f t="shared" si="15"/>
        <v>6427</v>
      </c>
      <c r="J99" s="5">
        <f t="shared" si="15"/>
        <v>5111</v>
      </c>
      <c r="K99" s="6">
        <f>SUM(B99:J99)</f>
        <v>21936</v>
      </c>
    </row>
    <row r="100" spans="1:15" x14ac:dyDescent="0.25">
      <c r="B100" s="2">
        <f t="shared" ref="B100:J100" si="16">ABS(SUM(B5:B10)-SUM(B93:B98))/SUM(B5:B10)</f>
        <v>0.16149635036496351</v>
      </c>
      <c r="C100" s="2">
        <f t="shared" si="16"/>
        <v>1.4420062695924765E-2</v>
      </c>
      <c r="D100" s="2">
        <f t="shared" si="16"/>
        <v>1.2401315789473684</v>
      </c>
      <c r="E100" s="2">
        <f t="shared" si="16"/>
        <v>0.20392301998519616</v>
      </c>
      <c r="F100" s="2">
        <f t="shared" si="16"/>
        <v>0.36464088397790057</v>
      </c>
      <c r="G100" s="2">
        <f t="shared" si="16"/>
        <v>8.9328932893289331E-2</v>
      </c>
      <c r="H100" s="2">
        <f t="shared" si="16"/>
        <v>0.22231270358306188</v>
      </c>
      <c r="I100" s="2">
        <f t="shared" si="16"/>
        <v>0.70235620235620233</v>
      </c>
      <c r="J100" s="2">
        <f t="shared" si="16"/>
        <v>0.74039158810732419</v>
      </c>
      <c r="K100" s="4">
        <f>SUMPRODUCT(ABS(B5:J10-B93:J98))/SUM(B5:J10)</f>
        <v>0.50158918894198889</v>
      </c>
    </row>
    <row r="101" spans="1:15" x14ac:dyDescent="0.25">
      <c r="A101" t="s">
        <v>27</v>
      </c>
      <c r="C101" s="8"/>
      <c r="O101">
        <v>1</v>
      </c>
    </row>
    <row r="102" spans="1:15" x14ac:dyDescent="0.25">
      <c r="A102" t="s">
        <v>29</v>
      </c>
      <c r="B102" t="s">
        <v>3</v>
      </c>
    </row>
    <row r="103" spans="1:15" x14ac:dyDescent="0.25">
      <c r="A103" t="s">
        <v>0</v>
      </c>
      <c r="B103">
        <v>1182</v>
      </c>
      <c r="C103">
        <v>1949</v>
      </c>
      <c r="D103">
        <v>2936</v>
      </c>
      <c r="E103">
        <v>4200</v>
      </c>
      <c r="F103">
        <v>4978</v>
      </c>
      <c r="G103">
        <v>3777</v>
      </c>
      <c r="H103">
        <v>3012</v>
      </c>
      <c r="I103">
        <v>2197</v>
      </c>
      <c r="J103">
        <v>1798</v>
      </c>
      <c r="K103">
        <v>1661</v>
      </c>
      <c r="L103">
        <v>1710</v>
      </c>
      <c r="M103">
        <v>1908</v>
      </c>
    </row>
    <row r="104" spans="1:15" x14ac:dyDescent="0.25">
      <c r="A104" t="s">
        <v>1</v>
      </c>
      <c r="B104">
        <v>86</v>
      </c>
      <c r="C104">
        <v>154</v>
      </c>
      <c r="D104">
        <v>219</v>
      </c>
      <c r="E104">
        <v>281</v>
      </c>
      <c r="F104">
        <v>318</v>
      </c>
      <c r="G104">
        <v>320</v>
      </c>
      <c r="H104">
        <v>297</v>
      </c>
      <c r="I104">
        <v>248</v>
      </c>
      <c r="J104">
        <v>219</v>
      </c>
      <c r="K104">
        <v>208</v>
      </c>
      <c r="L104">
        <v>212</v>
      </c>
      <c r="M104">
        <v>229</v>
      </c>
    </row>
    <row r="105" spans="1:15" x14ac:dyDescent="0.25">
      <c r="A105" t="s">
        <v>16</v>
      </c>
      <c r="B105">
        <v>55</v>
      </c>
      <c r="C105">
        <v>94</v>
      </c>
      <c r="D105">
        <v>140</v>
      </c>
      <c r="E105">
        <v>214</v>
      </c>
      <c r="F105">
        <v>264</v>
      </c>
      <c r="G105">
        <v>295</v>
      </c>
      <c r="H105">
        <v>298</v>
      </c>
      <c r="I105">
        <v>167</v>
      </c>
      <c r="J105">
        <v>117</v>
      </c>
      <c r="K105">
        <v>90</v>
      </c>
      <c r="L105">
        <v>81</v>
      </c>
      <c r="M105">
        <v>82</v>
      </c>
    </row>
    <row r="106" spans="1:15" x14ac:dyDescent="0.25">
      <c r="A106" t="s">
        <v>17</v>
      </c>
      <c r="B106">
        <v>530</v>
      </c>
      <c r="C106">
        <v>973</v>
      </c>
      <c r="D106">
        <v>1645</v>
      </c>
      <c r="E106">
        <v>2826</v>
      </c>
      <c r="F106">
        <v>4527</v>
      </c>
      <c r="G106">
        <v>2748</v>
      </c>
      <c r="H106">
        <v>2118</v>
      </c>
      <c r="I106">
        <v>1307</v>
      </c>
      <c r="J106">
        <v>943</v>
      </c>
      <c r="K106">
        <v>816</v>
      </c>
      <c r="L106">
        <v>823</v>
      </c>
      <c r="M106">
        <v>925</v>
      </c>
    </row>
    <row r="107" spans="1:15" x14ac:dyDescent="0.25">
      <c r="A107" t="s">
        <v>20</v>
      </c>
      <c r="B107">
        <v>0</v>
      </c>
      <c r="C107">
        <v>1</v>
      </c>
      <c r="D107">
        <v>1</v>
      </c>
      <c r="E107">
        <v>2</v>
      </c>
      <c r="F107">
        <v>3</v>
      </c>
      <c r="G107">
        <v>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</row>
    <row r="108" spans="1:15" x14ac:dyDescent="0.25">
      <c r="A108" t="s">
        <v>18</v>
      </c>
      <c r="B108">
        <v>111</v>
      </c>
      <c r="C108">
        <v>198</v>
      </c>
      <c r="D108">
        <v>314</v>
      </c>
      <c r="E108">
        <v>416</v>
      </c>
      <c r="F108">
        <v>393</v>
      </c>
      <c r="G108">
        <v>302</v>
      </c>
      <c r="H108">
        <v>223</v>
      </c>
      <c r="I108">
        <v>164</v>
      </c>
      <c r="J108">
        <v>140</v>
      </c>
      <c r="K108">
        <v>135</v>
      </c>
      <c r="L108">
        <v>145</v>
      </c>
      <c r="M108">
        <v>167</v>
      </c>
    </row>
    <row r="109" spans="1:15" x14ac:dyDescent="0.25">
      <c r="A109" t="s">
        <v>19</v>
      </c>
      <c r="B109">
        <v>204</v>
      </c>
      <c r="C109">
        <v>303</v>
      </c>
      <c r="D109">
        <v>416</v>
      </c>
      <c r="E109">
        <v>572</v>
      </c>
      <c r="F109">
        <v>662</v>
      </c>
      <c r="G109">
        <v>730</v>
      </c>
      <c r="H109">
        <v>772</v>
      </c>
      <c r="I109">
        <v>482</v>
      </c>
      <c r="J109">
        <v>340</v>
      </c>
      <c r="K109">
        <v>269</v>
      </c>
      <c r="L109">
        <v>243</v>
      </c>
      <c r="M109">
        <v>245</v>
      </c>
    </row>
    <row r="110" spans="1:15" x14ac:dyDescent="0.25">
      <c r="B110" s="5">
        <f t="shared" ref="B110:J110" si="17">SUMPRODUCT(ABS(B5:B10-B104:B109))</f>
        <v>368</v>
      </c>
      <c r="C110" s="5">
        <f t="shared" si="17"/>
        <v>924</v>
      </c>
      <c r="D110" s="5">
        <f t="shared" si="17"/>
        <v>1703</v>
      </c>
      <c r="E110" s="5">
        <f t="shared" si="17"/>
        <v>1307</v>
      </c>
      <c r="F110" s="5">
        <f t="shared" si="17"/>
        <v>3399</v>
      </c>
      <c r="G110" s="5">
        <f t="shared" si="17"/>
        <v>754</v>
      </c>
      <c r="H110" s="5">
        <f t="shared" si="17"/>
        <v>1361</v>
      </c>
      <c r="I110" s="5">
        <f t="shared" si="17"/>
        <v>6567</v>
      </c>
      <c r="J110" s="5">
        <f t="shared" si="17"/>
        <v>5151</v>
      </c>
      <c r="K110" s="6">
        <f>SUM(B110:J110)</f>
        <v>21534</v>
      </c>
    </row>
    <row r="111" spans="1:15" x14ac:dyDescent="0.25">
      <c r="B111" s="2">
        <f t="shared" ref="B111:J111" si="18">ABS(SUM(B5:B10)-SUM(B104:B109))/SUM(B5:B10)</f>
        <v>0.10036496350364964</v>
      </c>
      <c r="C111" s="2">
        <f t="shared" si="18"/>
        <v>8.0250783699059566E-2</v>
      </c>
      <c r="D111" s="2">
        <f t="shared" si="18"/>
        <v>1.2491776315789473</v>
      </c>
      <c r="E111" s="2">
        <f t="shared" si="18"/>
        <v>0.20225758697261287</v>
      </c>
      <c r="F111" s="2">
        <f t="shared" si="18"/>
        <v>0.34477263068423292</v>
      </c>
      <c r="G111" s="2">
        <f t="shared" si="18"/>
        <v>3.2123212321232122E-2</v>
      </c>
      <c r="H111" s="2">
        <f t="shared" si="18"/>
        <v>0.24491042345276873</v>
      </c>
      <c r="I111" s="2">
        <f t="shared" si="18"/>
        <v>0.72638022638022637</v>
      </c>
      <c r="J111" s="2">
        <f t="shared" si="18"/>
        <v>0.74474256707759245</v>
      </c>
      <c r="K111" s="4">
        <f>SUMPRODUCT(ABS(B5:J10-B104:J109))/SUM(B5:J10)</f>
        <v>0.49239704570918985</v>
      </c>
    </row>
    <row r="112" spans="1:15" x14ac:dyDescent="0.25">
      <c r="A112" t="s">
        <v>31</v>
      </c>
      <c r="H112" s="11"/>
      <c r="I112" s="11"/>
      <c r="J112" s="11"/>
      <c r="O112">
        <v>0</v>
      </c>
    </row>
    <row r="113" spans="1:13" x14ac:dyDescent="0.25">
      <c r="A113" t="s">
        <v>32</v>
      </c>
      <c r="B113" t="s">
        <v>3</v>
      </c>
    </row>
    <row r="114" spans="1:13" x14ac:dyDescent="0.25">
      <c r="A114" t="s">
        <v>0</v>
      </c>
      <c r="B114">
        <v>1188</v>
      </c>
      <c r="C114">
        <v>2268</v>
      </c>
      <c r="D114">
        <v>3860</v>
      </c>
      <c r="E114">
        <v>5512</v>
      </c>
      <c r="F114">
        <v>6325</v>
      </c>
      <c r="G114">
        <v>4088</v>
      </c>
      <c r="H114">
        <v>2935</v>
      </c>
      <c r="I114">
        <v>2062</v>
      </c>
      <c r="J114">
        <v>1527</v>
      </c>
      <c r="K114">
        <v>1410</v>
      </c>
      <c r="L114">
        <v>1605</v>
      </c>
      <c r="M114">
        <v>1949</v>
      </c>
    </row>
    <row r="115" spans="1:13" x14ac:dyDescent="0.25">
      <c r="A115" t="s">
        <v>1</v>
      </c>
      <c r="B115">
        <v>91</v>
      </c>
      <c r="C115">
        <v>142</v>
      </c>
      <c r="D115">
        <v>233</v>
      </c>
      <c r="E115">
        <v>334</v>
      </c>
      <c r="F115">
        <v>389</v>
      </c>
      <c r="G115">
        <v>371</v>
      </c>
      <c r="H115">
        <v>304</v>
      </c>
      <c r="I115">
        <v>215</v>
      </c>
      <c r="J115">
        <v>176</v>
      </c>
      <c r="K115">
        <v>164</v>
      </c>
      <c r="L115">
        <v>168</v>
      </c>
      <c r="M115">
        <v>184</v>
      </c>
    </row>
    <row r="116" spans="1:13" x14ac:dyDescent="0.25">
      <c r="A116" t="s">
        <v>16</v>
      </c>
      <c r="B116">
        <v>56</v>
      </c>
      <c r="C116">
        <v>103</v>
      </c>
      <c r="D116">
        <v>175</v>
      </c>
      <c r="E116">
        <v>273</v>
      </c>
      <c r="F116">
        <v>313</v>
      </c>
      <c r="G116">
        <v>327</v>
      </c>
      <c r="H116">
        <v>315</v>
      </c>
      <c r="I116">
        <v>186</v>
      </c>
      <c r="J116">
        <v>135</v>
      </c>
      <c r="K116">
        <v>95</v>
      </c>
      <c r="L116">
        <v>85</v>
      </c>
      <c r="M116">
        <v>104</v>
      </c>
    </row>
    <row r="117" spans="1:13" x14ac:dyDescent="0.25">
      <c r="A117" t="s">
        <v>17</v>
      </c>
      <c r="B117">
        <v>439</v>
      </c>
      <c r="C117">
        <v>872</v>
      </c>
      <c r="D117">
        <v>1579</v>
      </c>
      <c r="E117">
        <v>2632</v>
      </c>
      <c r="F117">
        <v>3868</v>
      </c>
      <c r="G117">
        <v>2892</v>
      </c>
      <c r="H117">
        <v>2126</v>
      </c>
      <c r="I117">
        <v>1474</v>
      </c>
      <c r="J117">
        <v>1033</v>
      </c>
      <c r="K117">
        <v>779</v>
      </c>
      <c r="L117">
        <v>813</v>
      </c>
      <c r="M117">
        <v>998</v>
      </c>
    </row>
    <row r="118" spans="1:13" x14ac:dyDescent="0.25">
      <c r="A118" t="s">
        <v>20</v>
      </c>
      <c r="B118">
        <v>0</v>
      </c>
      <c r="C118">
        <v>1</v>
      </c>
      <c r="D118">
        <v>1</v>
      </c>
      <c r="E118">
        <v>2</v>
      </c>
      <c r="F118">
        <v>3</v>
      </c>
      <c r="G118">
        <v>3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</row>
    <row r="119" spans="1:13" x14ac:dyDescent="0.25">
      <c r="A119" t="s">
        <v>18</v>
      </c>
      <c r="B119">
        <v>114</v>
      </c>
      <c r="C119">
        <v>211</v>
      </c>
      <c r="D119">
        <v>358</v>
      </c>
      <c r="E119">
        <v>487</v>
      </c>
      <c r="F119">
        <v>476</v>
      </c>
      <c r="G119">
        <v>327</v>
      </c>
      <c r="H119">
        <v>232</v>
      </c>
      <c r="I119">
        <v>164</v>
      </c>
      <c r="J119">
        <v>123</v>
      </c>
      <c r="K119">
        <v>118</v>
      </c>
      <c r="L119">
        <v>139</v>
      </c>
      <c r="M119">
        <v>168</v>
      </c>
    </row>
    <row r="120" spans="1:13" x14ac:dyDescent="0.25">
      <c r="A120" t="s">
        <v>19</v>
      </c>
      <c r="B120">
        <v>207</v>
      </c>
      <c r="C120">
        <v>362</v>
      </c>
      <c r="D120">
        <v>569</v>
      </c>
      <c r="E120">
        <v>757</v>
      </c>
      <c r="F120">
        <v>746</v>
      </c>
      <c r="G120">
        <v>737</v>
      </c>
      <c r="H120">
        <v>719</v>
      </c>
      <c r="I120">
        <v>429</v>
      </c>
      <c r="J120">
        <v>293</v>
      </c>
      <c r="K120">
        <v>226</v>
      </c>
      <c r="L120">
        <v>236</v>
      </c>
      <c r="M120">
        <v>293</v>
      </c>
    </row>
    <row r="121" spans="1:13" x14ac:dyDescent="0.25">
      <c r="B121" s="5">
        <f>SUMPRODUCT(ABS(B5:B10-B115:B120))</f>
        <v>435</v>
      </c>
      <c r="C121" s="5">
        <f t="shared" ref="C121:J121" si="19">SUMPRODUCT(ABS(C5:C10-C115:C120))</f>
        <v>774</v>
      </c>
      <c r="D121" s="5">
        <f t="shared" si="19"/>
        <v>1883</v>
      </c>
      <c r="E121" s="5">
        <f t="shared" si="19"/>
        <v>1345</v>
      </c>
      <c r="F121" s="5">
        <f t="shared" si="19"/>
        <v>3937</v>
      </c>
      <c r="G121" s="5">
        <f t="shared" si="19"/>
        <v>792</v>
      </c>
      <c r="H121" s="5">
        <f t="shared" si="19"/>
        <v>1439</v>
      </c>
      <c r="I121" s="5">
        <f t="shared" si="19"/>
        <v>6505</v>
      </c>
      <c r="J121" s="5">
        <f t="shared" si="19"/>
        <v>5138</v>
      </c>
      <c r="K121" s="6">
        <f>SUM(B121:J121)</f>
        <v>22248</v>
      </c>
    </row>
    <row r="122" spans="1:13" x14ac:dyDescent="0.25">
      <c r="B122" s="2">
        <f>ABS(SUM(B5:B10)-SUM(B115:B120))/SUM(B5:B10)</f>
        <v>0.17244525547445255</v>
      </c>
      <c r="C122" s="2">
        <f t="shared" ref="C122:J122" si="20">ABS(SUM(C5:C10)-SUM(C115:C120))/SUM(C5:C10)</f>
        <v>6.0188087774294671E-2</v>
      </c>
      <c r="D122" s="2">
        <f t="shared" si="20"/>
        <v>1.397203947368421</v>
      </c>
      <c r="E122" s="2">
        <f t="shared" si="20"/>
        <v>0.17005921539600297</v>
      </c>
      <c r="F122" s="2">
        <f t="shared" si="20"/>
        <v>0.38429664258393542</v>
      </c>
      <c r="G122" s="2">
        <f t="shared" si="20"/>
        <v>2.4642464246424644E-2</v>
      </c>
      <c r="H122" s="2">
        <f t="shared" si="20"/>
        <v>0.24735342019543974</v>
      </c>
      <c r="I122" s="2">
        <f t="shared" si="20"/>
        <v>0.71483021483021481</v>
      </c>
      <c r="J122" s="2">
        <f t="shared" si="20"/>
        <v>0.74459753444525023</v>
      </c>
      <c r="K122" s="4">
        <f>SUMPRODUCT(ABS(B5:J10-B115:J120))/SUM(B5:J10)</f>
        <v>0.50872338965998221</v>
      </c>
    </row>
    <row r="123" spans="1:13" x14ac:dyDescent="0.25">
      <c r="A123" t="s">
        <v>33</v>
      </c>
    </row>
    <row r="124" spans="1:13" x14ac:dyDescent="0.25">
      <c r="A124" t="s">
        <v>29</v>
      </c>
      <c r="B124" t="s">
        <v>3</v>
      </c>
    </row>
    <row r="125" spans="1:13" x14ac:dyDescent="0.25">
      <c r="A125" t="s">
        <v>0</v>
      </c>
      <c r="B125">
        <v>1229</v>
      </c>
      <c r="C125">
        <v>2339</v>
      </c>
      <c r="D125">
        <v>4077</v>
      </c>
      <c r="E125">
        <v>5980</v>
      </c>
      <c r="F125">
        <v>6909</v>
      </c>
      <c r="G125">
        <v>4582</v>
      </c>
      <c r="H125">
        <v>3345</v>
      </c>
      <c r="I125">
        <v>2426</v>
      </c>
      <c r="J125">
        <v>1762</v>
      </c>
      <c r="K125">
        <v>1635</v>
      </c>
      <c r="L125">
        <v>1936</v>
      </c>
      <c r="M125">
        <v>2282</v>
      </c>
    </row>
    <row r="126" spans="1:13" x14ac:dyDescent="0.25">
      <c r="A126" t="s">
        <v>1</v>
      </c>
      <c r="B126">
        <v>90</v>
      </c>
      <c r="C126">
        <v>156</v>
      </c>
      <c r="D126">
        <v>261</v>
      </c>
      <c r="E126">
        <v>369</v>
      </c>
      <c r="F126">
        <v>437</v>
      </c>
      <c r="G126">
        <v>426</v>
      </c>
      <c r="H126">
        <v>350</v>
      </c>
      <c r="I126">
        <v>264</v>
      </c>
      <c r="J126">
        <v>222</v>
      </c>
      <c r="K126">
        <v>197</v>
      </c>
      <c r="L126">
        <v>191</v>
      </c>
      <c r="M126">
        <v>204</v>
      </c>
    </row>
    <row r="127" spans="1:13" x14ac:dyDescent="0.25">
      <c r="A127" t="s">
        <v>16</v>
      </c>
      <c r="B127">
        <v>55</v>
      </c>
      <c r="C127">
        <v>103</v>
      </c>
      <c r="D127">
        <v>179</v>
      </c>
      <c r="E127">
        <v>281</v>
      </c>
      <c r="F127">
        <v>331</v>
      </c>
      <c r="G127">
        <v>347</v>
      </c>
      <c r="H127">
        <v>330</v>
      </c>
      <c r="I127">
        <v>208</v>
      </c>
      <c r="J127">
        <v>149</v>
      </c>
      <c r="K127">
        <v>103</v>
      </c>
      <c r="L127">
        <v>96</v>
      </c>
      <c r="M127">
        <v>116</v>
      </c>
    </row>
    <row r="128" spans="1:13" x14ac:dyDescent="0.25">
      <c r="A128" t="s">
        <v>17</v>
      </c>
      <c r="B128">
        <v>460</v>
      </c>
      <c r="C128">
        <v>914</v>
      </c>
      <c r="D128">
        <v>1647</v>
      </c>
      <c r="E128">
        <v>2771</v>
      </c>
      <c r="F128">
        <v>4226</v>
      </c>
      <c r="G128">
        <v>3058</v>
      </c>
      <c r="H128">
        <v>2291</v>
      </c>
      <c r="I128">
        <v>1665</v>
      </c>
      <c r="J128">
        <v>1168</v>
      </c>
      <c r="K128">
        <v>922</v>
      </c>
      <c r="L128">
        <v>995</v>
      </c>
      <c r="M128">
        <v>1192</v>
      </c>
    </row>
    <row r="129" spans="1:15" x14ac:dyDescent="0.25">
      <c r="A129" t="s">
        <v>20</v>
      </c>
      <c r="B129">
        <v>0</v>
      </c>
      <c r="C129">
        <v>1</v>
      </c>
      <c r="D129">
        <v>1</v>
      </c>
      <c r="E129">
        <v>2</v>
      </c>
      <c r="F129">
        <v>3</v>
      </c>
      <c r="G129">
        <v>4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</row>
    <row r="130" spans="1:15" x14ac:dyDescent="0.25">
      <c r="A130" t="s">
        <v>18</v>
      </c>
      <c r="B130">
        <v>106</v>
      </c>
      <c r="C130">
        <v>198</v>
      </c>
      <c r="D130">
        <v>344</v>
      </c>
      <c r="E130">
        <v>497</v>
      </c>
      <c r="F130">
        <v>491</v>
      </c>
      <c r="G130">
        <v>354</v>
      </c>
      <c r="H130">
        <v>257</v>
      </c>
      <c r="I130">
        <v>188</v>
      </c>
      <c r="J130">
        <v>140</v>
      </c>
      <c r="K130">
        <v>134</v>
      </c>
      <c r="L130">
        <v>156</v>
      </c>
      <c r="M130">
        <v>182</v>
      </c>
    </row>
    <row r="131" spans="1:15" x14ac:dyDescent="0.25">
      <c r="A131" t="s">
        <v>19</v>
      </c>
      <c r="B131">
        <v>211</v>
      </c>
      <c r="C131">
        <v>376</v>
      </c>
      <c r="D131">
        <v>606</v>
      </c>
      <c r="E131">
        <v>802</v>
      </c>
      <c r="F131">
        <v>787</v>
      </c>
      <c r="G131">
        <v>802</v>
      </c>
      <c r="H131">
        <v>742</v>
      </c>
      <c r="I131">
        <v>475</v>
      </c>
      <c r="J131">
        <v>321</v>
      </c>
      <c r="K131">
        <v>246</v>
      </c>
      <c r="L131">
        <v>263</v>
      </c>
      <c r="M131">
        <v>320</v>
      </c>
    </row>
    <row r="132" spans="1:15" x14ac:dyDescent="0.25">
      <c r="B132" s="5">
        <f>SUMPRODUCT(ABS(B5:B10-B126:B131))</f>
        <v>400</v>
      </c>
      <c r="C132" s="5">
        <f t="shared" ref="C132:J132" si="21">SUMPRODUCT(ABS(C5:C10-C126:C131))</f>
        <v>803</v>
      </c>
      <c r="D132" s="5">
        <f t="shared" si="21"/>
        <v>2006</v>
      </c>
      <c r="E132" s="5">
        <f t="shared" si="21"/>
        <v>1194</v>
      </c>
      <c r="F132" s="5">
        <f t="shared" si="21"/>
        <v>3553</v>
      </c>
      <c r="G132" s="5">
        <f t="shared" si="21"/>
        <v>994</v>
      </c>
      <c r="H132" s="5">
        <f t="shared" si="21"/>
        <v>1336</v>
      </c>
      <c r="I132" s="5">
        <f t="shared" si="21"/>
        <v>6265</v>
      </c>
      <c r="J132" s="5">
        <f t="shared" si="21"/>
        <v>4942</v>
      </c>
      <c r="K132" s="6">
        <f>SUM(B132:J132)</f>
        <v>21493</v>
      </c>
    </row>
    <row r="133" spans="1:15" x14ac:dyDescent="0.25">
      <c r="B133" s="2">
        <f>ABS(SUM(B5:B10)-SUM(B126:B131))/SUM(B5:B10)</f>
        <v>0.15875912408759124</v>
      </c>
      <c r="C133" s="2">
        <f t="shared" ref="C133:J133" si="22">ABS(SUM(C5:C10)-SUM(C126:C131))/SUM(C5:C10)</f>
        <v>9.5924764890282135E-2</v>
      </c>
      <c r="D133" s="2">
        <f t="shared" si="22"/>
        <v>1.4983552631578947</v>
      </c>
      <c r="E133" s="2">
        <f t="shared" si="22"/>
        <v>0.12620281273131015</v>
      </c>
      <c r="F133" s="2">
        <f t="shared" si="22"/>
        <v>0.33329791755206117</v>
      </c>
      <c r="G133" s="2">
        <f t="shared" si="22"/>
        <v>9.8129812981298123E-2</v>
      </c>
      <c r="H133" s="2">
        <f t="shared" si="22"/>
        <v>0.19136807817589577</v>
      </c>
      <c r="I133" s="2">
        <f t="shared" si="22"/>
        <v>0.67648417648417647</v>
      </c>
      <c r="J133" s="2">
        <f t="shared" si="22"/>
        <v>0.70978970268310371</v>
      </c>
      <c r="K133" s="4">
        <f>SUMPRODUCT(ABS(B5:J10-B126:J131))/SUM(B5:J10)</f>
        <v>0.49145953856355612</v>
      </c>
    </row>
    <row r="134" spans="1:15" x14ac:dyDescent="0.25">
      <c r="A134" t="s">
        <v>34</v>
      </c>
      <c r="H134" s="8"/>
      <c r="I134" s="8"/>
      <c r="J134" s="8"/>
      <c r="O134">
        <v>1</v>
      </c>
    </row>
    <row r="135" spans="1:15" x14ac:dyDescent="0.25">
      <c r="A135" t="s">
        <v>29</v>
      </c>
      <c r="B135" t="s">
        <v>3</v>
      </c>
    </row>
    <row r="136" spans="1:15" x14ac:dyDescent="0.25">
      <c r="A136" t="s">
        <v>0</v>
      </c>
      <c r="B136">
        <v>516</v>
      </c>
      <c r="C136">
        <v>778</v>
      </c>
      <c r="D136">
        <v>1174</v>
      </c>
      <c r="E136">
        <v>1797</v>
      </c>
      <c r="F136">
        <v>2583</v>
      </c>
      <c r="G136">
        <v>2663</v>
      </c>
      <c r="H136">
        <v>2561</v>
      </c>
      <c r="I136">
        <v>2119</v>
      </c>
      <c r="J136">
        <v>1739</v>
      </c>
      <c r="K136">
        <v>1453</v>
      </c>
      <c r="L136">
        <v>1248</v>
      </c>
      <c r="M136">
        <v>1125</v>
      </c>
    </row>
    <row r="137" spans="1:15" x14ac:dyDescent="0.25">
      <c r="A137" t="s">
        <v>1</v>
      </c>
      <c r="B137">
        <v>13</v>
      </c>
      <c r="C137">
        <v>23</v>
      </c>
      <c r="D137">
        <v>43</v>
      </c>
      <c r="E137">
        <v>68</v>
      </c>
      <c r="F137">
        <v>92</v>
      </c>
      <c r="G137">
        <v>108</v>
      </c>
      <c r="H137">
        <v>110</v>
      </c>
      <c r="I137">
        <v>80</v>
      </c>
      <c r="J137">
        <v>51</v>
      </c>
      <c r="K137">
        <v>33</v>
      </c>
      <c r="L137">
        <v>24</v>
      </c>
      <c r="M137">
        <v>20</v>
      </c>
    </row>
    <row r="138" spans="1:15" x14ac:dyDescent="0.25">
      <c r="A138" t="s">
        <v>16</v>
      </c>
      <c r="B138">
        <v>18</v>
      </c>
      <c r="C138">
        <v>28</v>
      </c>
      <c r="D138">
        <v>42</v>
      </c>
      <c r="E138">
        <v>69</v>
      </c>
      <c r="F138">
        <v>109</v>
      </c>
      <c r="G138">
        <v>159</v>
      </c>
      <c r="H138">
        <v>212</v>
      </c>
      <c r="I138">
        <v>153</v>
      </c>
      <c r="J138">
        <v>115</v>
      </c>
      <c r="K138">
        <v>88</v>
      </c>
      <c r="L138">
        <v>69</v>
      </c>
      <c r="M138">
        <v>60</v>
      </c>
    </row>
    <row r="139" spans="1:15" x14ac:dyDescent="0.25">
      <c r="A139" t="s">
        <v>17</v>
      </c>
      <c r="B139">
        <v>155</v>
      </c>
      <c r="C139">
        <v>236</v>
      </c>
      <c r="D139">
        <v>400</v>
      </c>
      <c r="E139">
        <v>743</v>
      </c>
      <c r="F139">
        <v>1464</v>
      </c>
      <c r="G139">
        <v>1655</v>
      </c>
      <c r="H139">
        <v>1595</v>
      </c>
      <c r="I139">
        <v>1338</v>
      </c>
      <c r="J139">
        <v>1051</v>
      </c>
      <c r="K139">
        <v>821</v>
      </c>
      <c r="L139">
        <v>676</v>
      </c>
      <c r="M139">
        <v>589</v>
      </c>
    </row>
    <row r="140" spans="1:15" x14ac:dyDescent="0.25">
      <c r="A140" t="s">
        <v>20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</row>
    <row r="141" spans="1:15" x14ac:dyDescent="0.25">
      <c r="A141" t="s">
        <v>18</v>
      </c>
      <c r="B141">
        <v>52</v>
      </c>
      <c r="C141">
        <v>84</v>
      </c>
      <c r="D141">
        <v>132</v>
      </c>
      <c r="E141">
        <v>195</v>
      </c>
      <c r="F141">
        <v>242</v>
      </c>
      <c r="G141">
        <v>233</v>
      </c>
      <c r="H141">
        <v>206</v>
      </c>
      <c r="I141">
        <v>164</v>
      </c>
      <c r="J141">
        <v>132</v>
      </c>
      <c r="K141">
        <v>112</v>
      </c>
      <c r="L141">
        <v>99</v>
      </c>
      <c r="M141">
        <v>94</v>
      </c>
    </row>
    <row r="142" spans="1:15" x14ac:dyDescent="0.25">
      <c r="A142" t="s">
        <v>19</v>
      </c>
      <c r="B142">
        <v>116</v>
      </c>
      <c r="C142">
        <v>166</v>
      </c>
      <c r="D142">
        <v>233</v>
      </c>
      <c r="E142">
        <v>347</v>
      </c>
      <c r="F142">
        <v>490</v>
      </c>
      <c r="G142">
        <v>598</v>
      </c>
      <c r="H142">
        <v>684</v>
      </c>
      <c r="I142">
        <v>482</v>
      </c>
      <c r="J142">
        <v>328</v>
      </c>
      <c r="K142">
        <v>249</v>
      </c>
      <c r="L142">
        <v>205</v>
      </c>
      <c r="M142">
        <v>186</v>
      </c>
    </row>
    <row r="143" spans="1:15" x14ac:dyDescent="0.25">
      <c r="B143" s="5">
        <f>SUMPRODUCT(ABS(B5:B10-B137:B142))</f>
        <v>760</v>
      </c>
      <c r="C143" s="5">
        <f t="shared" ref="C143:J143" si="23">SUMPRODUCT(ABS(C5:C10-C137:C142))</f>
        <v>1062</v>
      </c>
      <c r="D143" s="5">
        <f t="shared" si="23"/>
        <v>406</v>
      </c>
      <c r="E143" s="5">
        <f t="shared" si="23"/>
        <v>3982</v>
      </c>
      <c r="F143" s="5">
        <f t="shared" si="23"/>
        <v>7014</v>
      </c>
      <c r="G143" s="5">
        <f t="shared" si="23"/>
        <v>1941</v>
      </c>
      <c r="H143" s="5">
        <f t="shared" si="23"/>
        <v>2184</v>
      </c>
      <c r="I143" s="5">
        <f t="shared" si="23"/>
        <v>6690</v>
      </c>
      <c r="J143" s="5">
        <f t="shared" si="23"/>
        <v>5217</v>
      </c>
      <c r="K143" s="6">
        <f>SUM(B143:J143)</f>
        <v>29256</v>
      </c>
    </row>
    <row r="144" spans="1:15" x14ac:dyDescent="0.25">
      <c r="B144" s="2">
        <f>ABS(SUM(B5:B10)-SUM(B137:B142))/SUM(B5:B10)</f>
        <v>0.67700729927007297</v>
      </c>
      <c r="C144" s="2">
        <f t="shared" ref="C144:J144" si="24">ABS(SUM(C5:C10)-SUM(C137:C142))/SUM(C5:C10)</f>
        <v>0.66332288401253914</v>
      </c>
      <c r="D144" s="2">
        <f t="shared" si="24"/>
        <v>0.30098684210526316</v>
      </c>
      <c r="E144" s="2">
        <f t="shared" si="24"/>
        <v>0.7368615840118431</v>
      </c>
      <c r="F144" s="2">
        <f t="shared" si="24"/>
        <v>0.74521886952826177</v>
      </c>
      <c r="G144" s="2">
        <f t="shared" si="24"/>
        <v>0.39405940594059408</v>
      </c>
      <c r="H144" s="2">
        <f t="shared" si="24"/>
        <v>0.42833876221498374</v>
      </c>
      <c r="I144" s="2">
        <f t="shared" si="24"/>
        <v>0.74382074382074381</v>
      </c>
      <c r="J144" s="2">
        <f t="shared" si="24"/>
        <v>0.75663524292965922</v>
      </c>
      <c r="K144" s="4">
        <f>SUMPRODUCT(ABS(B5:J10-B137:J142))/SUM(B5:J10)</f>
        <v>0.66896851347952346</v>
      </c>
    </row>
  </sheetData>
  <conditionalFormatting sqref="B23:J23">
    <cfRule type="cellIs" dxfId="37" priority="68" operator="greaterThan">
      <formula>10</formula>
    </cfRule>
    <cfRule type="cellIs" dxfId="36" priority="66" operator="greaterThan">
      <formula>0.1</formula>
    </cfRule>
  </conditionalFormatting>
  <conditionalFormatting sqref="B34:J34">
    <cfRule type="cellIs" dxfId="35" priority="64" operator="greaterThan">
      <formula>0.1</formula>
    </cfRule>
  </conditionalFormatting>
  <conditionalFormatting sqref="B45:J45">
    <cfRule type="cellIs" dxfId="34" priority="63" operator="greaterThan">
      <formula>0.1</formula>
    </cfRule>
    <cfRule type="cellIs" dxfId="33" priority="55" operator="between">
      <formula>0.1</formula>
      <formula>0.2</formula>
    </cfRule>
  </conditionalFormatting>
  <conditionalFormatting sqref="B56:J56">
    <cfRule type="cellIs" dxfId="32" priority="36" operator="greaterThan">
      <formula>0.1</formula>
    </cfRule>
  </conditionalFormatting>
  <conditionalFormatting sqref="B67:J67">
    <cfRule type="cellIs" dxfId="31" priority="61" operator="greaterThan">
      <formula>0.1</formula>
    </cfRule>
  </conditionalFormatting>
  <conditionalFormatting sqref="B78:J78">
    <cfRule type="cellIs" dxfId="30" priority="30" operator="greaterThan">
      <formula>0.1</formula>
    </cfRule>
  </conditionalFormatting>
  <conditionalFormatting sqref="B89:J89">
    <cfRule type="cellIs" dxfId="29" priority="59" operator="greaterThan">
      <formula>0.1</formula>
    </cfRule>
  </conditionalFormatting>
  <conditionalFormatting sqref="B100:J100">
    <cfRule type="cellIs" dxfId="28" priority="48" operator="greaterThan">
      <formula>0.1</formula>
    </cfRule>
  </conditionalFormatting>
  <conditionalFormatting sqref="B111:J111">
    <cfRule type="cellIs" dxfId="27" priority="42" operator="greaterThan">
      <formula>0.1</formula>
    </cfRule>
  </conditionalFormatting>
  <conditionalFormatting sqref="B122:J122">
    <cfRule type="cellIs" dxfId="26" priority="24" operator="greaterThan">
      <formula>0.1</formula>
    </cfRule>
  </conditionalFormatting>
  <conditionalFormatting sqref="B133:J133">
    <cfRule type="cellIs" dxfId="25" priority="18" operator="greaterThan">
      <formula>0.1</formula>
    </cfRule>
  </conditionalFormatting>
  <conditionalFormatting sqref="B144:J144">
    <cfRule type="cellIs" dxfId="24" priority="12" operator="greaterThan">
      <formula>0.1</formula>
    </cfRule>
  </conditionalFormatting>
  <conditionalFormatting sqref="B23:K23 B34:K34 B45:K45 B67:K67 B89:K89">
    <cfRule type="cellIs" dxfId="23" priority="49" operator="between">
      <formula>0.1</formula>
      <formula>0.3</formula>
    </cfRule>
    <cfRule type="cellIs" dxfId="22" priority="50" operator="lessThan">
      <formula>0.1</formula>
    </cfRule>
  </conditionalFormatting>
  <conditionalFormatting sqref="B56:K56">
    <cfRule type="cellIs" dxfId="21" priority="32" operator="lessThan">
      <formula>0.1</formula>
    </cfRule>
    <cfRule type="cellIs" dxfId="20" priority="31" operator="between">
      <formula>0.1</formula>
      <formula>0.3</formula>
    </cfRule>
  </conditionalFormatting>
  <conditionalFormatting sqref="B78:K78">
    <cfRule type="cellIs" dxfId="19" priority="25" operator="between">
      <formula>0.1</formula>
      <formula>0.3</formula>
    </cfRule>
    <cfRule type="cellIs" dxfId="18" priority="26" operator="lessThan">
      <formula>0.1</formula>
    </cfRule>
  </conditionalFormatting>
  <conditionalFormatting sqref="B100:K100">
    <cfRule type="cellIs" dxfId="17" priority="43" operator="between">
      <formula>0.1</formula>
      <formula>0.3</formula>
    </cfRule>
    <cfRule type="cellIs" dxfId="16" priority="44" operator="lessThan">
      <formula>0.1</formula>
    </cfRule>
  </conditionalFormatting>
  <conditionalFormatting sqref="B111:K111">
    <cfRule type="cellIs" dxfId="15" priority="37" operator="between">
      <formula>0.1</formula>
      <formula>0.3</formula>
    </cfRule>
    <cfRule type="cellIs" dxfId="14" priority="38" operator="lessThan">
      <formula>0.1</formula>
    </cfRule>
  </conditionalFormatting>
  <conditionalFormatting sqref="B122:K122">
    <cfRule type="cellIs" dxfId="13" priority="19" operator="between">
      <formula>0.1</formula>
      <formula>0.3</formula>
    </cfRule>
    <cfRule type="cellIs" dxfId="12" priority="20" operator="lessThan">
      <formula>0.1</formula>
    </cfRule>
  </conditionalFormatting>
  <conditionalFormatting sqref="B133:K133">
    <cfRule type="cellIs" dxfId="11" priority="13" operator="between">
      <formula>0.1</formula>
      <formula>0.3</formula>
    </cfRule>
    <cfRule type="cellIs" dxfId="10" priority="14" operator="lessThan">
      <formula>0.1</formula>
    </cfRule>
  </conditionalFormatting>
  <conditionalFormatting sqref="B144:K144">
    <cfRule type="cellIs" dxfId="9" priority="8" operator="lessThan">
      <formula>0.1</formula>
    </cfRule>
    <cfRule type="cellIs" dxfId="8" priority="7" operator="between">
      <formula>0.1</formula>
      <formula>0.3</formula>
    </cfRule>
  </conditionalFormatting>
  <conditionalFormatting sqref="K23 K34 K45 K67 K89">
    <cfRule type="cellIs" dxfId="7" priority="51" operator="lessThan">
      <formula>0.3</formula>
    </cfRule>
  </conditionalFormatting>
  <conditionalFormatting sqref="K56">
    <cfRule type="cellIs" dxfId="6" priority="33" operator="lessThan">
      <formula>0.3</formula>
    </cfRule>
  </conditionalFormatting>
  <conditionalFormatting sqref="K78">
    <cfRule type="cellIs" dxfId="5" priority="27" operator="lessThan">
      <formula>0.3</formula>
    </cfRule>
  </conditionalFormatting>
  <conditionalFormatting sqref="K100">
    <cfRule type="cellIs" dxfId="4" priority="45" operator="lessThan">
      <formula>0.3</formula>
    </cfRule>
  </conditionalFormatting>
  <conditionalFormatting sqref="K111">
    <cfRule type="cellIs" dxfId="3" priority="39" operator="lessThan">
      <formula>0.3</formula>
    </cfRule>
  </conditionalFormatting>
  <conditionalFormatting sqref="K122">
    <cfRule type="cellIs" dxfId="2" priority="21" operator="lessThan">
      <formula>0.3</formula>
    </cfRule>
  </conditionalFormatting>
  <conditionalFormatting sqref="K133">
    <cfRule type="cellIs" dxfId="1" priority="15" operator="lessThan">
      <formula>0.3</formula>
    </cfRule>
  </conditionalFormatting>
  <conditionalFormatting sqref="K144">
    <cfRule type="cellIs" dxfId="0" priority="9" operator="lessThan">
      <formula>0.3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argun</dc:creator>
  <cp:lastModifiedBy>Grany ARGUN</cp:lastModifiedBy>
  <dcterms:created xsi:type="dcterms:W3CDTF">2015-06-05T18:19:34Z</dcterms:created>
  <dcterms:modified xsi:type="dcterms:W3CDTF">2026-03-18T13:43:51Z</dcterms:modified>
</cp:coreProperties>
</file>